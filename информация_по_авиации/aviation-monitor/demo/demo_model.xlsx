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Модель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<sst xmlns="http://schemas.openxmlformats.org/spreadsheetml/2006/main" count="21" uniqueCount="21">
  <si>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Демо-модель условной авиакомпании «Демо Авиа». Все цифры вымышлены, млрд ₽</t>
  </si>
  <si>
    <t xml:space="preserve">Показатель</t>
  </si>
  <si>
    <t xml:space="preserve">Допущения</t>
  </si>
  <si>
    <t xml:space="preserve">Выручка</t>
  </si>
  <si>
    <t xml:space="preserve">Доля топлива в выручке</t>
  </si>
  <si>
    <t xml:space="preserve">Топливо</t>
  </si>
  <si>
    <t xml:space="preserve">Доля прочих расходов</t>
  </si>
  <si>
    <t xml:space="preserve">Прочие операционные расходы</t>
  </si>
  <si>
    <t xml:space="preserve">EBITDA</t>
  </si>
  <si>
    <t xml:space="preserve">Налог на прибыль</t>
  </si>
  <si>
    <t xml:space="preserve">CAPEX (вложения)</t>
  </si>
  <si>
    <t xml:space="preserve">Прирост оборотного капитала</t>
  </si>
  <si>
    <t xml:space="preserve">Поток для обслуживания долга (CFADS)</t>
  </si>
  <si>
    <t xml:space="preserve">Проценты по долгу</t>
  </si>
  <si>
    <t xml:space="preserve">Погашение долга</t>
  </si>
  <si>
    <t xml:space="preserve">Лизинговые платежи</t>
  </si>
  <si>
    <t xml:space="preserve">Свободный поток после всех платежей</t>
  </si>
  <si>
    <t xml:space="preserve">Деньги на начало года</t>
  </si>
  <si>
    <t xml:space="preserve">Деньги на конец года</t>
  </si>
  <si>
    <t xml:space="preserve">DSCR (покрытие долга)</t>
  </si>
  <si>
    <t xml:space="preserve">Жёлтые ячейки — исходные данные; остальное считается формулами.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</si>
</sst>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0" t="n">
        <v>2026</v>
      </c>
      <c r="C3" s="0" t="n">
        <v>2027</v>
      </c>
      <c r="D3" s="0" t="n">
        <v>2028</v>
      </c>
      <c r="E3" s="0" t="n">
        <v>2029</v>
      </c>
      <c r="F3" s="0" t="n">
        <v>2030</v>
      </c>
      <c r="H3" s="0" t="s">
        <v>2</v>
      </c>
    </row>
    <row r="4" customFormat="false" ht="15" hidden="false" customHeight="false" outlineLevel="0" collapsed="false">
      <c r="A4" s="0" t="s">
        <v>3</v>
      </c>
      <c r="B4" s="2" t="n">
        <v>100</v>
      </c>
      <c r="C4" s="2" t="n">
        <v>108</v>
      </c>
      <c r="D4" s="2" t="n">
        <v>115</v>
      </c>
      <c r="E4" s="2" t="n">
        <v>120</v>
      </c>
      <c r="F4" s="2" t="n">
        <v>125</v>
      </c>
      <c r="H4" s="3" t="s">
        <v>4</v>
      </c>
      <c r="I4" s="0" t="n">
        <v>0.28</v>
      </c>
    </row>
    <row r="5" customFormat="false" ht="15" hidden="false" customHeight="false" outlineLevel="0" collapsed="false">
      <c r="A5" s="0" t="s">
        <v>5</v>
      </c>
      <c r="B5" s="0" t="n">
        <f aca="false">B4*$I$4</f>
        <v>28</v>
      </c>
      <c r="C5" s="0" t="n">
        <f aca="false">C4*$I$4</f>
        <v>30.24</v>
      </c>
      <c r="D5" s="0" t="n">
        <f aca="false">D4*$I$4</f>
        <v>32.2</v>
      </c>
      <c r="E5" s="0" t="n">
        <f aca="false">E4*$I$4</f>
        <v>33.6</v>
      </c>
      <c r="F5" s="0" t="n">
        <f aca="false">F4*$I$4</f>
        <v>35</v>
      </c>
      <c r="H5" s="0" t="s">
        <v>6</v>
      </c>
      <c r="I5" s="0" t="n">
        <v>0.48</v>
      </c>
    </row>
    <row r="6" customFormat="false" ht="15" hidden="false" customHeight="false" outlineLevel="0" collapsed="false">
      <c r="A6" s="0" t="s">
        <v>7</v>
      </c>
      <c r="B6" s="0" t="n">
        <f aca="false">B4*$I$5</f>
        <v>48</v>
      </c>
      <c r="C6" s="0" t="n">
        <f aca="false">C4*$I$5</f>
        <v>51.84</v>
      </c>
      <c r="D6" s="0" t="n">
        <f aca="false">D4*$I$5</f>
        <v>55.2</v>
      </c>
      <c r="E6" s="0" t="n">
        <f aca="false">E4*$I$5</f>
        <v>57.6</v>
      </c>
      <c r="F6" s="0" t="n">
        <f aca="false">F4*$I$5</f>
        <v>60</v>
      </c>
    </row>
    <row r="7" customFormat="false" ht="15" hidden="false" customHeight="false" outlineLevel="0" collapsed="false">
      <c r="A7" s="0" t="s">
        <v>8</v>
      </c>
      <c r="B7" s="0" t="n">
        <f aca="false">B4-B5-B6</f>
        <v>24</v>
      </c>
      <c r="C7" s="0" t="n">
        <f aca="false">C4-C5-C6</f>
        <v>25.92</v>
      </c>
      <c r="D7" s="0" t="n">
        <v>30</v>
      </c>
      <c r="E7" s="0" t="n">
        <f aca="false">E4-E5-E6</f>
        <v>28.8</v>
      </c>
      <c r="F7" s="0" t="n">
        <f aca="false">F4-F5-F6</f>
        <v>30</v>
      </c>
    </row>
    <row r="8" customFormat="false" ht="15" hidden="false" customHeight="false" outlineLevel="0" collapsed="false">
      <c r="A8" s="0" t="s">
        <v>9</v>
      </c>
      <c r="B8" s="2" t="n">
        <v>1.8</v>
      </c>
      <c r="C8" s="2" t="n">
        <v>2</v>
      </c>
      <c r="D8" s="2" t="n">
        <v>2.3</v>
      </c>
      <c r="E8" s="2" t="n">
        <v>2.4</v>
      </c>
      <c r="F8" s="2" t="n">
        <v>2.5</v>
      </c>
    </row>
    <row r="9" customFormat="false" ht="15" hidden="false" customHeight="false" outlineLevel="0" collapsed="false">
      <c r="A9" s="0" t="s">
        <v>10</v>
      </c>
      <c r="B9" s="2" t="n">
        <v>6</v>
      </c>
      <c r="C9" s="2" t="n">
        <v>6</v>
      </c>
      <c r="D9" s="2" t="n">
        <v>6</v>
      </c>
      <c r="E9" s="2" t="n">
        <v>6</v>
      </c>
      <c r="F9" s="2" t="n">
        <v>6</v>
      </c>
    </row>
    <row r="10" customFormat="false" ht="15" hidden="false" customHeight="false" outlineLevel="0" collapsed="false">
      <c r="A10" s="0" t="s">
        <v>11</v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</row>
    <row r="11" customFormat="false" ht="15" hidden="false" customHeight="false" outlineLevel="0" collapsed="false">
      <c r="A11" s="0" t="s">
        <v>12</v>
      </c>
      <c r="B11" s="0" t="n">
        <f aca="false">B7-B8-B9-B10</f>
        <v>15.2</v>
      </c>
      <c r="C11" s="0" t="n">
        <f aca="false">C7-C8-C9-C10</f>
        <v>16.92</v>
      </c>
      <c r="D11" s="0" t="n">
        <f aca="false">D7-D8-D9-D10</f>
        <v>20.7</v>
      </c>
      <c r="E11" s="0" t="n">
        <f aca="false">E7-E8-E9-E10</f>
        <v>19.4</v>
      </c>
      <c r="F11" s="0" t="n">
        <f aca="false">F7-F8-F9-F10</f>
        <v>20.5</v>
      </c>
    </row>
    <row r="12" customFormat="false" ht="15" hidden="false" customHeight="false" outlineLevel="0" collapsed="false">
      <c r="A12" s="0" t="s">
        <v>13</v>
      </c>
      <c r="B12" s="2" t="n">
        <v>4</v>
      </c>
      <c r="C12" s="2" t="n">
        <v>4</v>
      </c>
      <c r="D12" s="2" t="n">
        <v>4</v>
      </c>
      <c r="E12" s="2" t="n">
        <v>3.5</v>
      </c>
      <c r="F12" s="2" t="n">
        <v>3</v>
      </c>
    </row>
    <row r="13" customFormat="false" ht="15" hidden="false" customHeight="false" outlineLevel="0" collapsed="false">
      <c r="A13" s="0" t="s">
        <v>14</v>
      </c>
      <c r="B13" s="2" t="n">
        <v>5</v>
      </c>
      <c r="C13" s="2" t="n">
        <v>5</v>
      </c>
      <c r="D13" s="2" t="n">
        <v>10</v>
      </c>
      <c r="E13" s="2" t="n">
        <v>6</v>
      </c>
      <c r="F13" s="2" t="n">
        <v>6</v>
      </c>
    </row>
    <row r="14" customFormat="false" ht="15" hidden="false" customHeight="false" outlineLevel="0" collapsed="false">
      <c r="A14" s="0" t="s">
        <v>15</v>
      </c>
      <c r="B14" s="2" t="n">
        <v>1.5</v>
      </c>
      <c r="C14" s="2" t="n">
        <v>1.5</v>
      </c>
      <c r="D14" s="2" t="n">
        <v>1.5</v>
      </c>
      <c r="E14" s="2" t="n">
        <v>1.5</v>
      </c>
      <c r="F14" s="2" t="n">
        <v>1.5</v>
      </c>
    </row>
    <row r="15" customFormat="false" ht="15" hidden="false" customHeight="false" outlineLevel="0" collapsed="false">
      <c r="A15" s="0" t="s">
        <v>16</v>
      </c>
      <c r="B15" s="0" t="n">
        <f aca="false">B11-B12-B13-B14</f>
        <v>4.7</v>
      </c>
      <c r="C15" s="0" t="n">
        <f aca="false">C11-C12-C13-C14</f>
        <v>6.42</v>
      </c>
      <c r="D15" s="0" t="n">
        <f aca="false">D11-D12-D13-D14</f>
        <v>5.2</v>
      </c>
      <c r="E15" s="0" t="n">
        <f aca="false">E11-E12-E13-E14</f>
        <v>8.40000000000001</v>
      </c>
      <c r="F15" s="0" t="n">
        <f aca="false">F11-F12-F13-F14</f>
        <v>10</v>
      </c>
    </row>
    <row r="16" customFormat="false" ht="15" hidden="false" customHeight="false" outlineLevel="0" collapsed="false">
      <c r="A16" s="0" t="s">
        <v>17</v>
      </c>
      <c r="B16" s="0" t="n">
        <v>8</v>
      </c>
      <c r="C16" s="0" t="n">
        <f aca="false">B17</f>
        <v>12.7</v>
      </c>
      <c r="D16" s="0" t="n">
        <f aca="false">C17</f>
        <v>19.12</v>
      </c>
      <c r="E16" s="0" t="n">
        <f aca="false">D17</f>
        <v>24.32</v>
      </c>
      <c r="F16" s="0" t="n">
        <f aca="false">E17</f>
        <v>32.72</v>
      </c>
    </row>
    <row r="17" customFormat="false" ht="15" hidden="false" customHeight="false" outlineLevel="0" collapsed="false">
      <c r="A17" s="0" t="s">
        <v>18</v>
      </c>
      <c r="B17" s="0" t="n">
        <f aca="false">B16+B15</f>
        <v>12.7</v>
      </c>
      <c r="C17" s="0" t="n">
        <f aca="false">C16+C15</f>
        <v>19.12</v>
      </c>
      <c r="D17" s="0" t="n">
        <f aca="false">D16+D15</f>
        <v>24.32</v>
      </c>
      <c r="E17" s="0" t="n">
        <f aca="false">E16+E15</f>
        <v>32.72</v>
      </c>
      <c r="F17" s="0" t="n">
        <f aca="false">F16+F15</f>
        <v>42.72</v>
      </c>
    </row>
    <row r="18" customFormat="false" ht="15" hidden="false" customHeight="false" outlineLevel="0" collapsed="false">
      <c r="A18" s="0" t="s">
        <v>19</v>
      </c>
      <c r="B18" s="4" t="n">
        <f aca="false">B11/(B12+B13)</f>
        <v>1.68888888888889</v>
      </c>
      <c r="C18" s="4" t="n">
        <f aca="false">C11/(C12+C13)</f>
        <v>1.88</v>
      </c>
      <c r="D18" s="4" t="n">
        <f aca="false">D11/(D12+D13)</f>
        <v>1.47857142857143</v>
      </c>
      <c r="E18" s="4" t="n">
        <f aca="false">E11/(E12+E13)</f>
        <v>2.0421052631579</v>
      </c>
      <c r="F18" s="4" t="n">
        <f aca="false">F11/(F12+F13)</f>
        <v>2.27777777777778</v>
      </c>
    </row>
    <row r="20" customFormat="false" ht="15" hidden="false" customHeight="false" outlineLevel="0" collapsed="false">
      <c r="A20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2026-10-14T18:59:10Z</dcterms:created>
  <dc:creator>openpyxl</dc:creator>
  <dc:description/>
  <dc:language>en-US</dc:language>
  <cp:lastModifiedBy/>
  <dcterms:modified xsi:type="dcterms:W3CDTF">2026-10-14T18:59:10Z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