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3b6bfc15b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6d6200c865c46a4"/>
    <x:sheet xmlns:r="http://schemas.openxmlformats.org/officeDocument/2006/relationships" name="Финмодель" sheetId="2" r:id="Rbbbe16464d1e49ba"/>
    <x:sheet xmlns:r="http://schemas.openxmlformats.org/officeDocument/2006/relationships" name="Сценарии" sheetId="3" r:id="R3d46f85e866249d2"/>
    <x:sheet xmlns:r="http://schemas.openxmlformats.org/officeDocument/2006/relationships" name="Чувствительность" sheetId="4" r:id="R2f741a8a9b9a48c6"/>
    <x:sheet xmlns:r="http://schemas.openxmlformats.org/officeDocument/2006/relationships" name="Кредитный анализ" sheetId="5" r:id="Rfdcaa2e69a2d4268"/>
    <x:sheet xmlns:r="http://schemas.openxmlformats.org/officeDocument/2006/relationships" name="Допущения" sheetId="6" r:id="Rb523027385b444d7"/>
    <x:sheet xmlns:r="http://schemas.openxmlformats.org/officeDocument/2006/relationships" name="ТОиР" sheetId="7" r:id="Rbe2bf7409a854c30"/>
    <x:sheet xmlns:r="http://schemas.openxmlformats.org/officeDocument/2006/relationships" name="Лизинг" sheetId="8" r:id="R39d4c29f24064ee0"/>
    <x:sheet xmlns:r="http://schemas.openxmlformats.org/officeDocument/2006/relationships" name="Источники" sheetId="9" r:id="R5887175a4991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"/>
    <x:numFmt numFmtId="201" formatCode="0.0%"/>
    <x:numFmt numFmtId="202" formatCode="0.0"/>
    <x:numFmt numFmtId="203" formatCode="#,##0"/>
    <x:numFmt numFmtId="204" formatCode="0.00"/>
    <x:numFmt numFmtId="205" formatCode="0.000"/>
  </x:numFmts>
  <x:fonts count="9">
    <x:font>
      <x:sz val="11"/>
      <x:name val="Carlito"/>
    </x:font>
    <x:font>
      <x:sz val="10"/>
      <x:color rgb="FF172033"/>
      <x:name val="Arial"/>
    </x:font>
    <x:font>
      <x:b/>
      <x:sz val="16"/>
      <x:color rgb="FF102A4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i/>
      <x:sz val="10"/>
      <x:color rgb="FF687386"/>
      <x:name val="Arial"/>
    </x:font>
    <x:font>
      <x:b/>
      <x:sz val="10"/>
      <x:color rgb="FF102A43"/>
      <x:name val="Arial"/>
    </x:font>
    <x:font>
      <x:b/>
      <x:sz val="10"/>
      <x:color rgb="FF687386"/>
      <x:name val="Arial"/>
    </x:font>
    <x:font>
      <x:b/>
      <x:sz val="15"/>
      <x:color rgb="FF102A4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FF0FF"/>
      </x:patternFill>
    </x:fill>
    <x:fill>
      <x:patternFill patternType="solid">
        <x:fgColor rgb="FFF6FBFF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A441"/>
      </x:left>
      <x:top style="thin">
        <x:color rgb="FFD9A441"/>
      </x:top>
    </x:border>
    <x:border>
      <x:top style="thin">
        <x:color rgb="FFD9A441"/>
      </x:top>
    </x:border>
    <x:border>
      <x:right style="thin">
        <x:color rgb="FFD9A441"/>
      </x:right>
      <x:top style="thin">
        <x:color rgb="FFD9A441"/>
      </x:top>
    </x:border>
    <x:border>
      <x:left style="thin">
        <x:color rgb="FFD9A441"/>
      </x:left>
    </x:border>
    <x:border>
      <x:right style="thin">
        <x:color rgb="FFD9A441"/>
      </x:right>
    </x:border>
    <x:border>
      <x:left style="thin">
        <x:color rgb="FFD9A441"/>
      </x:left>
      <x:bottom style="thin">
        <x:color rgb="FFD9A441"/>
      </x:bottom>
    </x:border>
    <x:border>
      <x:bottom style="thin">
        <x:color rgb="FFD9A441"/>
      </x:bottom>
    </x:border>
    <x:border>
      <x:right style="thin">
        <x:color rgb="FFD9A441"/>
      </x:right>
      <x:bottom style="thin">
        <x:color rgb="FFD9A441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7" fillId="0" borderId="0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200" fontId="8" fillId="6" borderId="5" xfId="0" applyNumberFormat="1" applyFont="1" applyFill="1" applyBorder="1"/>
    <x:xf numFmtId="201" fontId="8" fillId="6" borderId="5" xfId="0" applyNumberFormat="1" applyFont="1" applyFill="1" applyBorder="1"/>
    <x:xf numFmtId="204" fontId="8" fillId="6" borderId="5" xfId="0" applyNumberFormat="1" applyFont="1" applyFill="1" applyBorder="1"/>
    <x:xf numFmtId="0" fontId="1" fillId="7" borderId="0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9" xfId="0" applyNumberFormat="1" applyFont="1" applyFill="1" applyBorder="1"/>
    <x:xf numFmtId="0" fontId="1" fillId="7" borderId="10" xfId="0" applyNumberFormat="1" applyFont="1" applyFill="1" applyBorder="1"/>
    <x:xf numFmtId="0" fontId="1" fillId="7" borderId="11" xfId="0" applyNumberFormat="1" applyFont="1" applyFill="1" applyBorder="1"/>
    <x:xf numFmtId="0" fontId="1" fillId="7" borderId="12" xfId="0" applyNumberFormat="1" applyFont="1" applyFill="1" applyBorder="1"/>
    <x:xf numFmtId="0" fontId="1" fillId="7" borderId="13" xfId="0" applyNumberFormat="1" applyFont="1" applyFill="1" applyBorder="1"/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9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10" xfId="0" applyNumberFormat="1" applyFont="1" applyFill="1" applyBorder="1" applyAlignment="1">
      <x:alignment wrapText="1"/>
    </x:xf>
    <x:xf numFmtId="0" fontId="1" fillId="7" borderId="11" xfId="0" applyNumberFormat="1" applyFont="1" applyFill="1" applyBorder="1" applyAlignment="1">
      <x:alignment wrapText="1"/>
    </x:xf>
    <x:xf numFmtId="0" fontId="1" fillId="7" borderId="12" xfId="0" applyNumberFormat="1" applyFont="1" applyFill="1" applyBorder="1" applyAlignment="1">
      <x:alignment wrapText="1"/>
    </x:xf>
    <x:xf numFmtId="0" fontId="1" fillId="7" borderId="13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0" fontId="1" fillId="7" borderId="9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0" xfId="0" applyNumberFormat="1" applyFont="1" applyFill="1" applyBorder="1" applyAlignment="1">
      <x:alignment vertical="top" wrapText="1"/>
    </x:xf>
    <x:xf numFmtId="0" fontId="1" fillId="7" borderId="11" xfId="0" applyNumberFormat="1" applyFont="1" applyFill="1" applyBorder="1" applyAlignment="1">
      <x:alignment vertical="top" wrapText="1"/>
    </x:xf>
    <x:xf numFmtId="0" fontId="1" fillId="7" borderId="12" xfId="0" applyNumberFormat="1" applyFont="1" applyFill="1" applyBorder="1" applyAlignment="1">
      <x:alignment vertical="top" wrapText="1"/>
    </x:xf>
    <x:xf numFmtId="0" fontId="1" fillId="7" borderId="13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8" fillId="6" borderId="5" xfId="0" applyNumberFormat="1" applyFont="1" applyFill="1" applyBorder="1" applyAlignment="1">
      <x:alignment vertical="center"/>
    </x:xf>
    <x:xf numFmtId="201" fontId="8" fillId="6" borderId="5" xfId="0" applyNumberFormat="1" applyFont="1" applyFill="1" applyBorder="1" applyAlignment="1">
      <x:alignment vertical="center"/>
    </x:xf>
    <x:xf numFmtId="204" fontId="8" fillId="6" borderId="5" xfId="0" applyNumberFormat="1" applyFont="1" applyFill="1" applyBorder="1" applyAlignment="1">
      <x:alignment vertical="center"/>
    </x:xf>
    <x:xf numFmtId="0" fontId="1" fillId="7" borderId="6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1" fillId="7" borderId="8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b9c0ba04d48d0" /><Relationship Type="http://schemas.openxmlformats.org/officeDocument/2006/relationships/theme" Target="/xl/theme/theme1.xml" Id="R29658a3c62634420" /><Relationship Type="http://schemas.openxmlformats.org/officeDocument/2006/relationships/sharedStrings" Target="/xl/sharedStrings.xml" Id="Rb5184a4652ff4d63" /><Relationship Type="http://schemas.openxmlformats.org/officeDocument/2006/relationships/worksheet" Target="/xl/worksheets/sheet1.xml" Id="R86d6200c865c46a4" /><Relationship Type="http://schemas.openxmlformats.org/officeDocument/2006/relationships/worksheet" Target="/xl/worksheets/sheet2.xml" Id="Rbbbe16464d1e49ba" /><Relationship Type="http://schemas.openxmlformats.org/officeDocument/2006/relationships/worksheet" Target="/xl/worksheets/sheet3.xml" Id="R3d46f85e866249d2" /><Relationship Type="http://schemas.openxmlformats.org/officeDocument/2006/relationships/worksheet" Target="/xl/worksheets/sheet4.xml" Id="R2f741a8a9b9a48c6" /><Relationship Type="http://schemas.openxmlformats.org/officeDocument/2006/relationships/worksheet" Target="/xl/worksheets/sheet5.xml" Id="Rfdcaa2e69a2d4268" /><Relationship Type="http://schemas.openxmlformats.org/officeDocument/2006/relationships/worksheet" Target="/xl/worksheets/sheet6.xml" Id="Rb523027385b444d7" /><Relationship Type="http://schemas.openxmlformats.org/officeDocument/2006/relationships/worksheet" Target="/xl/worksheets/sheet7.xml" Id="Rbe2bf7409a854c30" /><Relationship Type="http://schemas.openxmlformats.org/officeDocument/2006/relationships/worksheet" Target="/xl/worksheets/sheet8.xml" Id="R39d4c29f24064ee0" /><Relationship Type="http://schemas.openxmlformats.org/officeDocument/2006/relationships/worksheet" Target="/xl/worksheets/sheet9.xml" Id="R5887175a499147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00b58b9bb141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Выручка vs OPEX vs лизинговый платёж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Выручка</c:v>
          </c:tx>
          <c:cat>
            <c:strRef>
              <c:f>'Dashboard'!$A$21:$A$35</c:f>
              <c:strCache>
                <c:ptCount val="0"/>
              </c:strCache>
            </c:strRef>
          </c:cat>
          <c:val>
            <c:numRef>
              <c:f>'Dashboard'!$B$21:$B$35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OPEX</c:v>
          </c:tx>
          <c:cat>
            <c:strRef>
              <c:f>'Dashboard'!$A$21:$A$35</c:f>
              <c:strCache>
                <c:ptCount val="0"/>
              </c:strCache>
            </c:strRef>
          </c:cat>
          <c:val>
            <c:numRef>
              <c:f>'Dashboard'!$C$21:$C$35</c:f>
              <c:numCache>
                <c:formatCode>#,##0.0</c:formatCode>
                <c:ptCount val="0"/>
              </c:numCache>
            </c:numRef>
          </c:val>
        </c:ser>
        <c:ser>
          <c:idx val="2"/>
          <c:order val="2"/>
          <c:tx>
            <c:v>Лизинг</c:v>
          </c:tx>
          <c:cat>
            <c:strRef>
              <c:f>'Dashboard'!$A$21:$A$35</c:f>
              <c:strCache>
                <c:ptCount val="0"/>
              </c:strCache>
            </c:strRef>
          </c:cat>
          <c:val>
            <c:numRef>
              <c:f>'Dashboard'!$D$21:$D$35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8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00b58b9bb141b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6a97e0fbbf44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АК «ЮТэйр» - ДАШБОРД ЛИЗИНГОВОЙ СДЕЛКИ</x:v>
      </x:c>
      <x:c r="B1" s="3" t="str">
        <x:v>АК «ЮТэйр» - ДАШБОРД ЛИЗИНГОВОЙ СДЕЛКИ</x:v>
      </x:c>
      <x:c r="C1" s="3" t="str">
        <x:v>АК «ЮТэйр» - ДАШБОРД ЛИЗИНГОВОЙ СДЕЛКИ</x:v>
      </x:c>
      <x:c r="D1" s="3" t="str">
        <x:v>АК «ЮТэйр» - ДАШБОРД ЛИЗИНГОВОЙ СДЕЛКИ</x:v>
      </x:c>
      <x:c r="E1" s="3" t="str">
        <x:v>АК «ЮТэйр» - ДАШБОРД ЛИЗИНГОВОЙ СДЕЛКИ</x:v>
      </x:c>
      <x:c r="F1" s="3" t="str">
        <x:v>АК «ЮТэйр» - ДАШБОРД ЛИЗИНГОВОЙ СДЕЛКИ</x:v>
      </x:c>
      <x:c r="G1" s="3" t="str">
        <x:v>АК «ЮТэйр» - ДАШБОРД ЛИЗИНГОВОЙ СДЕЛКИ</x:v>
      </x:c>
      <x:c r="H1" s="3" t="str">
        <x:v>АК «ЮТэйр» - ДАШБОРД ЛИЗИНГОВОЙ СДЕЛКИ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5" t="str">
        <x:v>Ми-8МТВ-1 | интерактивные KPI и контроль финансовой устойчивости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6" t="str">
        <x:v>KPI ПРОЕКТА</x:v>
      </x:c>
      <x:c r="B4" s="67" t="str">
        <x:v>KPI ПРОЕКТА</x:v>
      </x:c>
      <x:c r="C4" s="67" t="str">
        <x:v>KPI ПРОЕКТА</x:v>
      </x:c>
      <x:c r="D4" s="67" t="str">
        <x:v>KPI ПРОЕКТА</x:v>
      </x:c>
      <x:c r="E4" s="67" t="str">
        <x:v>KPI ПРОЕКТА</x:v>
      </x:c>
      <x:c r="F4" s="67" t="str">
        <x:v>KPI ПРОЕКТА</x:v>
      </x:c>
      <x:c r="G4" s="67" t="str">
        <x:v>KPI ПРОЕКТА</x:v>
      </x:c>
      <x:c r="H4" s="68" t="str">
        <x:v>KPI ПРОЕКТА</x:v>
      </x:c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9" t="str">
        <x:v>Суммарная выручка</x:v>
      </x:c>
      <x:c r="B5" s="64"/>
      <x:c r="C5" s="69" t="str">
        <x:v>Суммарная EBITDA</x:v>
      </x:c>
      <x:c r="D5" s="64"/>
      <x:c r="E5" s="69" t="str">
        <x:v>Суммарная чистая прибыль</x:v>
      </x:c>
      <x:c r="F5" s="64"/>
      <x:c r="G5" s="69" t="str">
        <x:v>NPV проекта</x:v>
      </x:c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70" t="n">
        <x:f>SUM('Финмодель'!C6:Q6)/1000</x:f>
        <x:v>7768.282891761846</x:v>
      </x:c>
      <x:c r="B6" s="64"/>
      <x:c r="C6" s="70" t="n">
        <x:f>SUM('Финмодель'!C10:Q10)/1000</x:f>
        <x:v>451.5117620689338</x:v>
      </x:c>
      <x:c r="D6" s="64"/>
      <x:c r="E6" s="70" t="n">
        <x:f>SUM('Финмодель'!C17:Q17)/1000</x:f>
        <x:v>-942.0205869864863</x:v>
      </x:c>
      <x:c r="F6" s="64"/>
      <x:c r="G6" s="70" t="n">
        <x:f>NPV('Допущения'!B20,'Финмодель'!C19:Q19)/1000</x:f>
        <x:v>-132.11400630776478</x:v>
      </x:c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/>
      <x:c r="B7" s="64"/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9" t="str">
        <x:v>IRR проекта</x:v>
      </x:c>
      <x:c r="B8" s="64"/>
      <x:c r="C8" s="69" t="str">
        <x:v>Минимальный DSCR</x:v>
      </x:c>
      <x:c r="D8" s="64"/>
      <x:c r="E8" s="69" t="str">
        <x:v>Потребность в инвестициях</x:v>
      </x:c>
      <x:c r="F8" s="64"/>
      <x:c r="G8" s="69" t="str">
        <x:v>Годовой платёж</x:v>
      </x:c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71" t="n">
        <x:f>IFERROR(IRR('Финмодель'!C19:Q19),"н/д")</x:f>
        <x:v>0.3210320572048255</x:v>
      </x:c>
      <x:c r="B9" s="64"/>
      <x:c r="C9" s="72" t="n">
        <x:f>MIN('Финмодель'!C21:Q21)</x:f>
        <x:v>-1.6862827038432366</x:v>
      </x:c>
      <x:c r="D9" s="64"/>
      <x:c r="E9" s="70" t="n">
        <x:f>'Допущения'!B4*(1-'Допущения'!B5)</x:f>
        <x:v>660</x:v>
      </x:c>
      <x:c r="F9" s="64"/>
      <x:c r="G9" s="70" t="n">
        <x:f>'Лизинг'!C4</x:f>
        <x:v>91783.05808958119</x:v>
      </x:c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/>
      <x:c r="B10" s="64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/>
      <x:c r="B11" s="64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6" t="str">
        <x:v>КОНТРОЛЬНЫЕ ВЫВОДЫ</x:v>
      </x:c>
      <x:c r="B12" s="67" t="str">
        <x:v>КОНТРОЛЬНЫЕ ВЫВОДЫ</x:v>
      </x:c>
      <x:c r="C12" s="67" t="str">
        <x:v>КОНТРОЛЬНЫЕ ВЫВОДЫ</x:v>
      </x:c>
      <x:c r="D12" s="67" t="str">
        <x:v>КОНТРОЛЬНЫЕ ВЫВОДЫ</x:v>
      </x:c>
      <x:c r="E12" s="67" t="str">
        <x:v>КОНТРОЛЬНЫЕ ВЫВОДЫ</x:v>
      </x:c>
      <x:c r="F12" s="67" t="str">
        <x:v>КОНТРОЛЬНЫЕ ВЫВОДЫ</x:v>
      </x:c>
      <x:c r="G12" s="67" t="str">
        <x:v>КОНТРОЛЬНЫЕ ВЫВОДЫ</x:v>
      </x:c>
      <x:c r="H12" s="68" t="str">
        <x:v>КОНТРОЛЬНЫЕ ВЫВОДЫ</x:v>
      </x:c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73" t="str">
        <x:f>IF(G6&lt;0,"NPV отрицателен: при текущей базе сделка не создаёт стоимость.","NPV положителен: при текущей базе сделка создаёт стоимость.")&amp;CHAR(10)&amp;"Фактический ЮТэйр: "&amp;TEXT('Допущения'!B18,"0.0")&amp;" ч/мес и "&amp;TEXT('Допущения'!B19,"#,##0")&amp;" руб./ч."&amp;CHAR(10)&amp;"Исторический CFO 2024: -263 043 тыс. руб.; это требует отдельной кредитной защиты."</x:f>
        <x:v>NPV отрицателен: при текущей базе сделка не создаёт стоимость.
Фактический ЮТэйр: 57.7 ч/мес и 487,460 руб./ч.
Исторический CFO 2024: -263 043 тыс. руб.; это требует отдельной кредитной защиты.</x:v>
      </x:c>
      <x:c r="B13" s="74"/>
      <x:c r="C13" s="74"/>
      <x:c r="D13" s="74"/>
      <x:c r="E13" s="74"/>
      <x:c r="F13" s="74"/>
      <x:c r="G13" s="74"/>
      <x:c r="H13" s="75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76"/>
      <x:c r="B14" s="77"/>
      <x:c r="C14" s="77"/>
      <x:c r="D14" s="77"/>
      <x:c r="E14" s="77"/>
      <x:c r="F14" s="77"/>
      <x:c r="G14" s="77"/>
      <x:c r="H14" s="78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76"/>
      <x:c r="B15" s="77"/>
      <x:c r="C15" s="77"/>
      <x:c r="D15" s="77"/>
      <x:c r="E15" s="77"/>
      <x:c r="F15" s="77"/>
      <x:c r="G15" s="77"/>
      <x:c r="H15" s="78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76"/>
      <x:c r="B16" s="77"/>
      <x:c r="C16" s="77"/>
      <x:c r="D16" s="77"/>
      <x:c r="E16" s="77"/>
      <x:c r="F16" s="77"/>
      <x:c r="G16" s="77"/>
      <x:c r="H16" s="78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79"/>
      <x:c r="B17" s="80"/>
      <x:c r="C17" s="80"/>
      <x:c r="D17" s="80"/>
      <x:c r="E17" s="80"/>
      <x:c r="F17" s="80"/>
      <x:c r="G17" s="80"/>
      <x:c r="H17" s="81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9" t="str">
        <x:v>Год</x:v>
      </x:c>
      <x:c r="B20" s="9" t="str">
        <x:v>Выручка</x:v>
      </x:c>
      <x:c r="C20" s="9" t="str">
        <x:v>OPEX</x:v>
      </x:c>
      <x:c r="D20" s="9" t="str">
        <x:v>Лизинг</x:v>
      </x:c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 t="n">
        <x:v>2026</x:v>
      </x:c>
      <x:c r="B21" s="82" t="n">
        <x:f>'Финмодель'!C6</x:f>
        <x:v>360000</x:v>
      </x:c>
      <x:c r="C21" s="82" t="n">
        <x:f>'Финмодель'!C9</x:f>
        <x:v>241729.8362752801</x:v>
      </x:c>
      <x:c r="D21" s="82" t="n">
        <x:f>'Финмодель'!C12</x:f>
        <x:v>91783.05808958119</x:v>
      </x:c>
      <x:c r="E21" s="82"/>
      <x:c r="F21" s="82"/>
      <x:c r="G21" s="82"/>
      <x:c r="H21" s="82"/>
      <x:c r="I21" s="82"/>
      <x:c r="J21" s="82"/>
      <x:c r="K21" s="82"/>
      <x:c r="L21" s="82"/>
      <x:c r="M21" s="82"/>
      <x:c r="N21" s="82"/>
      <x:c r="O21" s="82"/>
      <x:c r="P21" s="82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 t="n">
        <x:v>2027</x:v>
      </x:c>
      <x:c r="B22" s="82" t="n">
        <x:f>'Финмодель'!D6</x:f>
        <x:v>378000</x:v>
      </x:c>
      <x:c r="C22" s="82" t="n">
        <x:f>'Финмодель'!D9</x:f>
        <x:v>263181.3226283138</x:v>
      </x:c>
      <x:c r="D22" s="82" t="n">
        <x:f>'Финмодель'!D12</x:f>
        <x:v>91783.05808958119</x:v>
      </x:c>
      <x:c r="E22" s="82"/>
      <x:c r="F22" s="82"/>
      <x:c r="G22" s="82"/>
      <x:c r="H22" s="82"/>
      <x:c r="I22" s="82"/>
      <x:c r="J22" s="82"/>
      <x:c r="K22" s="82"/>
      <x:c r="L22" s="82"/>
      <x:c r="M22" s="82"/>
      <x:c r="N22" s="82"/>
      <x:c r="O22" s="82"/>
      <x:c r="P22" s="82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 t="n">
        <x:v>2028</x:v>
      </x:c>
      <x:c r="B23" s="82" t="n">
        <x:f>'Финмодель'!E6</x:f>
        <x:v>396900</x:v>
      </x:c>
      <x:c r="C23" s="82" t="n">
        <x:f>'Финмодель'!E9</x:f>
        <x:v>286829.1826437114</x:v>
      </x:c>
      <x:c r="D23" s="82" t="n">
        <x:f>'Финмодель'!E12</x:f>
        <x:v>91783.05808958119</x:v>
      </x:c>
      <x:c r="E23" s="82"/>
      <x:c r="F23" s="82"/>
      <x:c r="G23" s="82"/>
      <x:c r="H23" s="82"/>
      <x:c r="I23" s="82"/>
      <x:c r="J23" s="82"/>
      <x:c r="K23" s="82"/>
      <x:c r="L23" s="82"/>
      <x:c r="M23" s="82"/>
      <x:c r="N23" s="82"/>
      <x:c r="O23" s="82"/>
      <x:c r="P23" s="82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 t="n">
        <x:v>2029</x:v>
      </x:c>
      <x:c r="B24" s="64" t="n">
        <x:f>'Финмодель'!F6</x:f>
        <x:v>416745.00000000006</x:v>
      </x:c>
      <x:c r="C24" s="64" t="n">
        <x:f>'Финмодель'!F9</x:f>
        <x:v>312918.0909259568</x:v>
      </x:c>
      <x:c r="D24" s="64" t="n">
        <x:f>'Финмодель'!F12</x:f>
        <x:v>91783.05808958119</x:v>
      </x:c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 t="n">
        <x:v>2030</x:v>
      </x:c>
      <x:c r="B25" s="64" t="n">
        <x:f>'Финмодель'!G6</x:f>
        <x:v>437582.25000000006</x:v>
      </x:c>
      <x:c r="C25" s="64" t="n">
        <x:f>'Финмодель'!G9</x:f>
        <x:v>341721.1385203216</x:v>
      </x:c>
      <x:c r="D25" s="64" t="n">
        <x:f>'Финмодель'!G12</x:f>
        <x:v>91783.05808958119</x:v>
      </x:c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 t="n">
        <x:v>2031</x:v>
      </x:c>
      <x:c r="B26" s="64" t="n">
        <x:f>'Финмодель'!H6</x:f>
        <x:v>459461.3625000001</x:v>
      </x:c>
      <x:c r="C26" s="64" t="n">
        <x:f>'Финмодель'!H9</x:f>
        <x:v>373543.1956601727</x:v>
      </x:c>
      <x:c r="D26" s="64" t="n">
        <x:f>'Финмодель'!H12</x:f>
        <x:v>91783.05808958119</x:v>
      </x:c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 t="n">
        <x:v>2032</x:v>
      </x:c>
      <x:c r="B27" s="64" t="n">
        <x:f>'Финмодель'!I6</x:f>
        <x:v>482434.43062500015</x:v>
      </x:c>
      <x:c r="C27" s="64" t="n">
        <x:f>'Финмодель'!I9</x:f>
        <x:v>408724.67568267667</x:v>
      </x:c>
      <x:c r="D27" s="64" t="n">
        <x:f>'Финмодель'!I12</x:f>
        <x:v>91783.05808958119</x:v>
      </x:c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 t="n">
        <x:v>2033</x:v>
      </x:c>
      <x:c r="B28" s="64" t="n">
        <x:f>'Финмодель'!J6</x:f>
        <x:v>506556.1521562502</x:v>
      </x:c>
      <x:c r="C28" s="64" t="n">
        <x:f>'Финмодель'!J9</x:f>
        <x:v>447645.74813504517</x:v>
      </x:c>
      <x:c r="D28" s="64" t="n">
        <x:f>'Финмодель'!J12</x:f>
        <x:v>91783.05808958119</x:v>
      </x:c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 t="n">
        <x:v>2034</x:v>
      </x:c>
      <x:c r="B29" s="64" t="n">
        <x:f>'Финмодель'!K6</x:f>
        <x:v>531883.9597640627</x:v>
      </x:c>
      <x:c r="C29" s="64" t="n">
        <x:f>'Финмодель'!K9</x:f>
        <x:v>490731.0548502202</x:v>
      </x:c>
      <x:c r="D29" s="64" t="n">
        <x:f>'Финмодель'!K12</x:f>
        <x:v>91783.05808958119</x:v>
      </x:c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 t="n">
        <x:v>2035</x:v>
      </x:c>
      <x:c r="B30" s="64" t="n">
        <x:f>'Финмодель'!L6</x:f>
        <x:v>558478.1577522658</x:v>
      </x:c>
      <x:c r="C30" s="64" t="n">
        <x:f>'Финмодель'!L9</x:f>
        <x:v>538454.9892181649</x:v>
      </x:c>
      <x:c r="D30" s="64" t="n">
        <x:f>'Финмодель'!L12</x:f>
        <x:v>91783.05808958119</x:v>
      </x:c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 t="n">
        <x:v>2036</x:v>
      </x:c>
      <x:c r="B31" s="64" t="n">
        <x:f>'Финмодель'!M6</x:f>
        <x:v>586402.0656398791</x:v>
      </x:c>
      <x:c r="C31" s="64" t="n">
        <x:f>'Финмодель'!M9</x:f>
        <x:v>591347.6060995588</x:v>
      </x:c>
      <x:c r="D31" s="64" t="n">
        <x:f>'Финмодель'!M12</x:f>
        <x:v>91783.05808958119</x:v>
      </x:c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 t="n">
        <x:v>2037</x:v>
      </x:c>
      <x:c r="B32" s="64" t="n">
        <x:f>'Финмодель'!N6</x:f>
        <x:v>615722.1689218731</x:v>
      </x:c>
      <x:c r="C32" s="64" t="n">
        <x:f>'Финмодель'!N9</x:f>
        <x:v>650001.2379154806</x:v>
      </x:c>
      <x:c r="D32" s="64" t="n">
        <x:f>'Финмодель'!N12</x:f>
        <x:v>91783.05808958119</x:v>
      </x:c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 t="n">
        <x:v>2038</x:v>
      </x:c>
      <x:c r="B33" s="64" t="n">
        <x:f>'Финмодель'!O6</x:f>
        <x:v>646508.2773679667</x:v>
      </x:c>
      <x:c r="C33" s="64" t="n">
        <x:f>'Финмодель'!O9</x:f>
        <x:v>715077.9015035117</x:v>
      </x:c>
      <x:c r="D33" s="64" t="n">
        <x:f>'Финмодель'!O12</x:f>
        <x:v>91783.05808958119</x:v>
      </x:c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 t="n">
        <x:v>2039</x:v>
      </x:c>
      <x:c r="B34" s="64" t="n">
        <x:f>'Финмодель'!P6</x:f>
        <x:v>678833.6912363654</x:v>
      </x:c>
      <x:c r="C34" s="64" t="n">
        <x:f>'Финмодель'!P9</x:f>
        <x:v>787317.5904740153</x:v>
      </x:c>
      <x:c r="D34" s="64" t="n">
        <x:f>'Финмодель'!P12</x:f>
        <x:v>91783.05808958119</x:v>
      </x:c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 t="n">
        <x:v>2040</x:v>
      </x:c>
      <x:c r="B35" s="64" t="n">
        <x:f>'Финмодель'!Q6</x:f>
        <x:v>712775.3757981836</x:v>
      </x:c>
      <x:c r="C35" s="64" t="n">
        <x:f>'Финмодель'!Q9</x:f>
        <x:v>867547.5591604834</x:v>
      </x:c>
      <x:c r="D35" s="64" t="n">
        <x:f>'Финмодель'!Q12</x:f>
        <x:v>91783.05808958119</x:v>
      </x:c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</x:sheetData>
  <x:mergeCells>
    <x:mergeCell ref="A1:H1"/>
    <x:mergeCell ref="A2:H2"/>
    <x:mergeCell ref="A4:H4"/>
    <x:mergeCell ref="A12:H12"/>
    <x:mergeCell ref="A13:H17"/>
  </x:mergeCells>
  <x:pageMargins left="0.7" right="0.7" top="0.75" bottom="0.75" header="0.3" footer="0.3"/>
  <x:drawing xmlns:r="http://schemas.openxmlformats.org/officeDocument/2006/relationships" r:id="R396a97e0fbbf449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8" customHeight="1">
      <x:c r="A1" s="3" t="str">
        <x:v>ФИНАНСОВАЯ МОДЕЛЬ ЛИЗИНГА Ми-8МТВ-1, тыс. руб.</x:v>
      </x:c>
      <x:c r="B1" s="3" t="str">
        <x:v>ФИНАНСОВАЯ МОДЕЛЬ ЛИЗИНГА Ми-8МТВ-1, тыс. руб.</x:v>
      </x:c>
      <x:c r="C1" s="3" t="str">
        <x:v>ФИНАНСОВАЯ МОДЕЛЬ ЛИЗИНГА Ми-8МТВ-1, тыс. руб.</x:v>
      </x:c>
      <x:c r="D1" s="3" t="str">
        <x:v>ФИНАНСОВАЯ МОДЕЛЬ ЛИЗИНГА Ми-8МТВ-1, тыс. руб.</x:v>
      </x:c>
      <x:c r="E1" s="3" t="str">
        <x:v>ФИНАНСОВАЯ МОДЕЛЬ ЛИЗИНГА Ми-8МТВ-1, тыс. руб.</x:v>
      </x:c>
      <x:c r="F1" s="3" t="str">
        <x:v>ФИНАНСОВАЯ МОДЕЛЬ ЛИЗИНГА Ми-8МТВ-1, тыс. руб.</x:v>
      </x:c>
      <x:c r="G1" s="3" t="str">
        <x:v>ФИНАНСОВАЯ МОДЕЛЬ ЛИЗИНГА Ми-8МТВ-1, тыс. руб.</x:v>
      </x:c>
      <x:c r="H1" s="3" t="str">
        <x:v>ФИНАНСОВАЯ МОДЕЛЬ ЛИЗИНГА Ми-8МТВ-1, тыс. руб.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9" t="str">
        <x:v>Показатель</x:v>
      </x:c>
      <x:c r="B3" s="9" t="str">
        <x:v>Ед.изм.</x:v>
      </x:c>
      <x:c r="C3" s="9" t="n">
        <x:v>2026</x:v>
      </x:c>
      <x:c r="D3" s="9" t="n">
        <x:v>2027</x:v>
      </x:c>
      <x:c r="E3" s="9" t="n">
        <x:v>2028</x:v>
      </x:c>
      <x:c r="F3" s="9" t="n">
        <x:v>2029</x:v>
      </x:c>
      <x:c r="G3" s="9" t="n">
        <x:v>2030</x:v>
      </x:c>
      <x:c r="H3" s="9" t="n">
        <x:v>2031</x:v>
      </x:c>
      <x:c r="I3" s="9" t="n">
        <x:v>2032</x:v>
      </x:c>
      <x:c r="J3" s="9" t="n">
        <x:v>2033</x:v>
      </x:c>
      <x:c r="K3" s="9" t="n">
        <x:v>2034</x:v>
      </x:c>
      <x:c r="L3" s="9" t="n">
        <x:v>2035</x:v>
      </x:c>
      <x:c r="M3" s="9" t="n">
        <x:v>2036</x:v>
      </x:c>
      <x:c r="N3" s="9" t="n">
        <x:v>2037</x:v>
      </x:c>
      <x:c r="O3" s="9" t="n">
        <x:v>2038</x:v>
      </x:c>
      <x:c r="P3" s="9" t="n">
        <x:v>2039</x:v>
      </x:c>
      <x:c r="Q3" s="9" t="n">
        <x:v>2040</x:v>
      </x:c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4" t="str">
        <x:v>Ставка л/ч</x:v>
      </x:c>
      <x:c r="B4" s="64" t="str">
        <x:v>руб./л/ч</x:v>
      </x:c>
      <x:c r="C4" s="83" t="n">
        <x:f>'Допущения'!$B$9*(1+'Допущения'!$B$11)^0</x:f>
        <x:v>600000</x:v>
      </x:c>
      <x:c r="D4" s="83" t="n">
        <x:f>'Допущения'!$B$9*(1+'Допущения'!$B$11)^1</x:f>
        <x:v>630000</x:v>
      </x:c>
      <x:c r="E4" s="83" t="n">
        <x:f>'Допущения'!$B$9*(1+'Допущения'!$B$11)^2</x:f>
        <x:v>661500</x:v>
      </x:c>
      <x:c r="F4" s="83" t="n">
        <x:f>'Допущения'!$B$9*(1+'Допущения'!$B$11)^3</x:f>
        <x:v>694575.0000000001</x:v>
      </x:c>
      <x:c r="G4" s="83" t="n">
        <x:f>'Допущения'!$B$9*(1+'Допущения'!$B$11)^4</x:f>
        <x:v>729303.7500000001</x:v>
      </x:c>
      <x:c r="H4" s="83" t="n">
        <x:f>'Допущения'!$B$9*(1+'Допущения'!$B$11)^5</x:f>
        <x:v>765768.9375000002</x:v>
      </x:c>
      <x:c r="I4" s="83" t="n">
        <x:f>'Допущения'!$B$9*(1+'Допущения'!$B$11)^6</x:f>
        <x:v>804057.3843750003</x:v>
      </x:c>
      <x:c r="J4" s="83" t="n">
        <x:f>'Допущения'!$B$9*(1+'Допущения'!$B$11)^7</x:f>
        <x:v>844260.2535937503</x:v>
      </x:c>
      <x:c r="K4" s="83" t="n">
        <x:f>'Допущения'!$B$9*(1+'Допущения'!$B$11)^8</x:f>
        <x:v>886473.2662734378</x:v>
      </x:c>
      <x:c r="L4" s="83" t="n">
        <x:f>'Допущения'!$B$9*(1+'Допущения'!$B$11)^9</x:f>
        <x:v>930796.9295871097</x:v>
      </x:c>
      <x:c r="M4" s="83" t="n">
        <x:f>'Допущения'!$B$9*(1+'Допущения'!$B$11)^10</x:f>
        <x:v>977336.7760664652</x:v>
      </x:c>
      <x:c r="N4" s="83" t="n">
        <x:f>'Допущения'!$B$9*(1+'Допущения'!$B$11)^11</x:f>
        <x:v>1026203.6148697885</x:v>
      </x:c>
      <x:c r="O4" s="83" t="n">
        <x:f>'Допущения'!$B$9*(1+'Допущения'!$B$11)^12</x:f>
        <x:v>1077513.795613278</x:v>
      </x:c>
      <x:c r="P4" s="83" t="n">
        <x:f>'Допущения'!$B$9*(1+'Допущения'!$B$11)^13</x:f>
        <x:v>1131389.485393942</x:v>
      </x:c>
      <x:c r="Q4" s="64" t="n">
        <x:f>'Допущения'!$B$9*(1+'Допущения'!$B$11)^14</x:f>
        <x:v>1187958.9596636393</x:v>
      </x:c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4" t="str">
        <x:v>Налёт</x:v>
      </x:c>
      <x:c r="B5" s="64" t="str">
        <x:v>ч/год</x:v>
      </x:c>
      <x:c r="C5" s="83" t="n">
        <x:f>'Допущения'!$B$10*12</x:f>
        <x:v>600</x:v>
      </x:c>
      <x:c r="D5" s="83" t="n">
        <x:f>'Допущения'!$B$10*12</x:f>
        <x:v>600</x:v>
      </x:c>
      <x:c r="E5" s="83" t="n">
        <x:f>'Допущения'!$B$10*12</x:f>
        <x:v>600</x:v>
      </x:c>
      <x:c r="F5" s="83" t="n">
        <x:f>'Допущения'!$B$10*12</x:f>
        <x:v>600</x:v>
      </x:c>
      <x:c r="G5" s="83" t="n">
        <x:f>'Допущения'!$B$10*12</x:f>
        <x:v>600</x:v>
      </x:c>
      <x:c r="H5" s="83" t="n">
        <x:f>'Допущения'!$B$10*12</x:f>
        <x:v>600</x:v>
      </x:c>
      <x:c r="I5" s="83" t="n">
        <x:f>'Допущения'!$B$10*12</x:f>
        <x:v>600</x:v>
      </x:c>
      <x:c r="J5" s="83" t="n">
        <x:f>'Допущения'!$B$10*12</x:f>
        <x:v>600</x:v>
      </x:c>
      <x:c r="K5" s="83" t="n">
        <x:f>'Допущения'!$B$10*12</x:f>
        <x:v>600</x:v>
      </x:c>
      <x:c r="L5" s="83" t="n">
        <x:f>'Допущения'!$B$10*12</x:f>
        <x:v>600</x:v>
      </x:c>
      <x:c r="M5" s="83" t="n">
        <x:f>'Допущения'!$B$10*12</x:f>
        <x:v>600</x:v>
      </x:c>
      <x:c r="N5" s="83" t="n">
        <x:f>'Допущения'!$B$10*12</x:f>
        <x:v>600</x:v>
      </x:c>
      <x:c r="O5" s="83" t="n">
        <x:f>'Допущения'!$B$10*12</x:f>
        <x:v>600</x:v>
      </x:c>
      <x:c r="P5" s="83" t="n">
        <x:f>'Допущения'!$B$10*12</x:f>
        <x:v>600</x:v>
      </x:c>
      <x:c r="Q5" s="64" t="n">
        <x:f>'Допущения'!$B$10*12</x:f>
        <x:v>600</x:v>
      </x:c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 t="str">
        <x:v>Выручка</x:v>
      </x:c>
      <x:c r="B6" s="64" t="str">
        <x:v>тыс. руб.</x:v>
      </x:c>
      <x:c r="C6" s="82" t="n">
        <x:f>C4*C5/1000</x:f>
        <x:v>360000</x:v>
      </x:c>
      <x:c r="D6" s="82" t="n">
        <x:f>D4*D5/1000</x:f>
        <x:v>378000</x:v>
      </x:c>
      <x:c r="E6" s="82" t="n">
        <x:f>E4*E5/1000</x:f>
        <x:v>396900</x:v>
      </x:c>
      <x:c r="F6" s="82" t="n">
        <x:f>F4*F5/1000</x:f>
        <x:v>416745.00000000006</x:v>
      </x:c>
      <x:c r="G6" s="82" t="n">
        <x:f>G4*G5/1000</x:f>
        <x:v>437582.25000000006</x:v>
      </x:c>
      <x:c r="H6" s="82" t="n">
        <x:f>H4*H5/1000</x:f>
        <x:v>459461.3625000001</x:v>
      </x:c>
      <x:c r="I6" s="82" t="n">
        <x:f>I4*I5/1000</x:f>
        <x:v>482434.43062500015</x:v>
      </x:c>
      <x:c r="J6" s="82" t="n">
        <x:f>J4*J5/1000</x:f>
        <x:v>506556.1521562502</x:v>
      </x:c>
      <x:c r="K6" s="82" t="n">
        <x:f>K4*K5/1000</x:f>
        <x:v>531883.9597640627</x:v>
      </x:c>
      <x:c r="L6" s="82" t="n">
        <x:f>L4*L5/1000</x:f>
        <x:v>558478.1577522658</x:v>
      </x:c>
      <x:c r="M6" s="82" t="n">
        <x:f>M4*M5/1000</x:f>
        <x:v>586402.0656398791</x:v>
      </x:c>
      <x:c r="N6" s="82" t="n">
        <x:f>N4*N5/1000</x:f>
        <x:v>615722.1689218731</x:v>
      </x:c>
      <x:c r="O6" s="82" t="n">
        <x:f>O4*O5/1000</x:f>
        <x:v>646508.2773679667</x:v>
      </x:c>
      <x:c r="P6" s="82" t="n">
        <x:f>P4*P5/1000</x:f>
        <x:v>678833.6912363654</x:v>
      </x:c>
      <x:c r="Q6" s="64" t="n">
        <x:f>Q4*Q5/1000</x:f>
        <x:v>712775.3757981836</x:v>
      </x:c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 t="str">
        <x:v>OPEX без ТОиР</x:v>
      </x:c>
      <x:c r="B7" s="64" t="str">
        <x:v>тыс. руб.</x:v>
      </x:c>
      <x:c r="C7" s="82" t="n">
        <x:f>'Допущения'!$B$12*(1+'Допущения'!$B$13)^0*C5/1000</x:f>
        <x:v>107944.2</x:v>
      </x:c>
      <x:c r="D7" s="82" t="n">
        <x:f>'Допущения'!$B$12*(1+'Допущения'!$B$13)^1*D5/1000</x:f>
        <x:v>113341.41</x:v>
      </x:c>
      <x:c r="E7" s="82" t="n">
        <x:f>'Допущения'!$B$12*(1+'Допущения'!$B$13)^2*E5/1000</x:f>
        <x:v>119008.4805</x:v>
      </x:c>
      <x:c r="F7" s="82" t="n">
        <x:f>'Допущения'!$B$12*(1+'Допущения'!$B$13)^3*F5/1000</x:f>
        <x:v>124958.90452500002</x:v>
      </x:c>
      <x:c r="G7" s="82" t="n">
        <x:f>'Допущения'!$B$12*(1+'Допущения'!$B$13)^4*G5/1000</x:f>
        <x:v>131206.84975125</x:v>
      </x:c>
      <x:c r="H7" s="82" t="n">
        <x:f>'Допущения'!$B$12*(1+'Допущения'!$B$13)^5*H5/1000</x:f>
        <x:v>137767.19223881254</x:v>
      </x:c>
      <x:c r="I7" s="82" t="n">
        <x:f>'Допущения'!$B$12*(1+'Допущения'!$B$13)^6*I5/1000</x:f>
        <x:v>144655.5518507532</x:v>
      </x:c>
      <x:c r="J7" s="82" t="n">
        <x:f>'Допущения'!$B$12*(1+'Допущения'!$B$13)^7*J5/1000</x:f>
        <x:v>151888.32944329083</x:v>
      </x:c>
      <x:c r="K7" s="82" t="n">
        <x:f>'Допущения'!$B$12*(1+'Допущения'!$B$13)^8*K5/1000</x:f>
        <x:v>159482.74591545537</x:v>
      </x:c>
      <x:c r="L7" s="82" t="n">
        <x:f>'Допущения'!$B$12*(1+'Допущения'!$B$13)^9*L5/1000</x:f>
        <x:v>167456.88321122812</x:v>
      </x:c>
      <x:c r="M7" s="82" t="n">
        <x:f>'Допущения'!$B$12*(1+'Допущения'!$B$13)^10*M5/1000</x:f>
        <x:v>175829.72737178957</x:v>
      </x:c>
      <x:c r="N7" s="82" t="n">
        <x:f>'Допущения'!$B$12*(1+'Допущения'!$B$13)^11*N5/1000</x:f>
        <x:v>184621.21374037905</x:v>
      </x:c>
      <x:c r="O7" s="82" t="n">
        <x:f>'Допущения'!$B$12*(1+'Допущения'!$B$13)^12*O5/1000</x:f>
        <x:v>193852.274427398</x:v>
      </x:c>
      <x:c r="P7" s="82" t="n">
        <x:f>'Допущения'!$B$12*(1+'Допущения'!$B$13)^13*P5/1000</x:f>
        <x:v>203544.88814876793</x:v>
      </x:c>
      <x:c r="Q7" s="64" t="n">
        <x:f>'Допущения'!$B$12*(1+'Допущения'!$B$13)^14*Q5/1000</x:f>
        <x:v>213722.13255620634</x:v>
      </x:c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4" t="str">
        <x:v>Резерв ТОиР</x:v>
      </x:c>
      <x:c r="B8" s="64" t="str">
        <x:v>тыс. руб.</x:v>
      </x:c>
      <x:c r="C8" s="82" t="n">
        <x:f>'ТОиР'!$D$12*(1+'Допущения'!$B$14)^0*C5/1000</x:f>
        <x:v>133785.6362752801</x:v>
      </x:c>
      <x:c r="D8" s="82" t="n">
        <x:f>'ТОиР'!$D$12*(1+'Допущения'!$B$14)^1*D5/1000</x:f>
        <x:v>149839.91262831376</x:v>
      </x:c>
      <x:c r="E8" s="82" t="n">
        <x:f>'ТОиР'!$D$12*(1+'Допущения'!$B$14)^2*E5/1000</x:f>
        <x:v>167820.7021437114</x:v>
      </x:c>
      <x:c r="F8" s="82" t="n">
        <x:f>'ТОиР'!$D$12*(1+'Допущения'!$B$14)^3*F5/1000</x:f>
        <x:v>187959.18640095677</x:v>
      </x:c>
      <x:c r="G8" s="82" t="n">
        <x:f>'ТОиР'!$D$12*(1+'Допущения'!$B$14)^4*G5/1000</x:f>
        <x:v>210514.2887690716</x:v>
      </x:c>
      <x:c r="H8" s="82" t="n">
        <x:f>'ТОиР'!$D$12*(1+'Допущения'!$B$14)^5*H5/1000</x:f>
        <x:v>235776.00342136022</x:v>
      </x:c>
      <x:c r="I8" s="82" t="n">
        <x:f>'ТОиР'!$D$12*(1+'Допущения'!$B$14)^6*I5/1000</x:f>
        <x:v>264069.12383192347</x:v>
      </x:c>
      <x:c r="J8" s="82" t="n">
        <x:f>'ТОиР'!$D$12*(1+'Допущения'!$B$14)^7*J5/1000</x:f>
        <x:v>295757.41869175434</x:v>
      </x:c>
      <x:c r="K8" s="82" t="n">
        <x:f>'ТОиР'!$D$12*(1+'Допущения'!$B$14)^8*K5/1000</x:f>
        <x:v>331248.3089347649</x:v>
      </x:c>
      <x:c r="L8" s="82" t="n">
        <x:f>'ТОиР'!$D$12*(1+'Допущения'!$B$14)^9*L5/1000</x:f>
        <x:v>370998.10600693675</x:v>
      </x:c>
      <x:c r="M8" s="82" t="n">
        <x:f>'ТОиР'!$D$12*(1+'Допущения'!$B$14)^10*M5/1000</x:f>
        <x:v>415517.87872776913</x:v>
      </x:c>
      <x:c r="N8" s="82" t="n">
        <x:f>'ТОиР'!$D$12*(1+'Допущения'!$B$14)^11*N5/1000</x:f>
        <x:v>465380.02417510154</x:v>
      </x:c>
      <x:c r="O8" s="82" t="n">
        <x:f>'ТОиР'!$D$12*(1+'Допущения'!$B$14)^12*O5/1000</x:f>
        <x:v>521225.6270761138</x:v>
      </x:c>
      <x:c r="P8" s="82" t="n">
        <x:f>'ТОиР'!$D$12*(1+'Допущения'!$B$14)^13*P5/1000</x:f>
        <x:v>583772.7023252475</x:v>
      </x:c>
      <x:c r="Q8" s="64" t="n">
        <x:f>'ТОиР'!$D$12*(1+'Допущения'!$B$14)^14*Q5/1000</x:f>
        <x:v>653825.4266042771</x:v>
      </x:c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4" t="str">
        <x:v>ИТОГО OPEX</x:v>
      </x:c>
      <x:c r="B9" s="64" t="str">
        <x:v>тыс. руб.</x:v>
      </x:c>
      <x:c r="C9" s="82" t="n">
        <x:f>C7+C8</x:f>
        <x:v>241729.8362752801</x:v>
      </x:c>
      <x:c r="D9" s="82" t="n">
        <x:f>D7+D8</x:f>
        <x:v>263181.3226283138</x:v>
      </x:c>
      <x:c r="E9" s="82" t="n">
        <x:f>E7+E8</x:f>
        <x:v>286829.1826437114</x:v>
      </x:c>
      <x:c r="F9" s="82" t="n">
        <x:f>F7+F8</x:f>
        <x:v>312918.0909259568</x:v>
      </x:c>
      <x:c r="G9" s="82" t="n">
        <x:f>G7+G8</x:f>
        <x:v>341721.1385203216</x:v>
      </x:c>
      <x:c r="H9" s="82" t="n">
        <x:f>H7+H8</x:f>
        <x:v>373543.1956601727</x:v>
      </x:c>
      <x:c r="I9" s="82" t="n">
        <x:f>I7+I8</x:f>
        <x:v>408724.67568267667</x:v>
      </x:c>
      <x:c r="J9" s="82" t="n">
        <x:f>J7+J8</x:f>
        <x:v>447645.74813504517</x:v>
      </x:c>
      <x:c r="K9" s="82" t="n">
        <x:f>K7+K8</x:f>
        <x:v>490731.0548502202</x:v>
      </x:c>
      <x:c r="L9" s="82" t="n">
        <x:f>L7+L8</x:f>
        <x:v>538454.9892181649</x:v>
      </x:c>
      <x:c r="M9" s="82" t="n">
        <x:f>M7+M8</x:f>
        <x:v>591347.6060995588</x:v>
      </x:c>
      <x:c r="N9" s="82" t="n">
        <x:f>N7+N8</x:f>
        <x:v>650001.2379154806</x:v>
      </x:c>
      <x:c r="O9" s="82" t="n">
        <x:f>O7+O8</x:f>
        <x:v>715077.9015035117</x:v>
      </x:c>
      <x:c r="P9" s="82" t="n">
        <x:f>P7+P8</x:f>
        <x:v>787317.5904740153</x:v>
      </x:c>
      <x:c r="Q9" s="64" t="n">
        <x:f>Q7+Q8</x:f>
        <x:v>867547.5591604834</x:v>
      </x:c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84" t="str">
        <x:v>EBITDA</x:v>
      </x:c>
      <x:c r="B10" s="84" t="str">
        <x:v>тыс. руб.</x:v>
      </x:c>
      <x:c r="C10" s="85" t="n">
        <x:f>C6-C9</x:f>
        <x:v>118270.1637247199</x:v>
      </x:c>
      <x:c r="D10" s="85" t="n">
        <x:f>D6-D9</x:f>
        <x:v>114818.67737168621</x:v>
      </x:c>
      <x:c r="E10" s="85" t="n">
        <x:f>E6-E9</x:f>
        <x:v>110070.81735628861</x:v>
      </x:c>
      <x:c r="F10" s="85" t="n">
        <x:f>F6-F9</x:f>
        <x:v>103826.90907404327</x:v>
      </x:c>
      <x:c r="G10" s="85" t="n">
        <x:f>G6-G9</x:f>
        <x:v>95861.11147967848</x:v>
      </x:c>
      <x:c r="H10" s="85" t="n">
        <x:f>H6-H9</x:f>
        <x:v>85918.16683982738</x:v>
      </x:c>
      <x:c r="I10" s="85" t="n">
        <x:f>I6-I9</x:f>
        <x:v>73709.75494232349</x:v>
      </x:c>
      <x:c r="J10" s="85" t="n">
        <x:f>J6-J9</x:f>
        <x:v>58910.40402120503</x:v>
      </x:c>
      <x:c r="K10" s="85" t="n">
        <x:f>K6-K9</x:f>
        <x:v>41152.904913842445</x:v>
      </x:c>
      <x:c r="L10" s="85" t="n">
        <x:f>L6-L9</x:f>
        <x:v>20023.16853410087</x:v>
      </x:c>
      <x:c r="M10" s="85" t="n">
        <x:f>M6-M9</x:f>
        <x:v>-4945.5404596796725</x:v>
      </x:c>
      <x:c r="N10" s="85" t="n">
        <x:f>N6-N9</x:f>
        <x:v>-34279.068993607536</x:v>
      </x:c>
      <x:c r="O10" s="85" t="n">
        <x:f>O6-O9</x:f>
        <x:v>-68569.62413554499</x:v>
      </x:c>
      <x:c r="P10" s="85" t="n">
        <x:f>P6-P9</x:f>
        <x:v>-108483.89923764998</x:v>
      </x:c>
      <x:c r="Q10" s="64" t="n">
        <x:f>Q6-Q9</x:f>
        <x:v>-154772.1833622998</x:v>
      </x:c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 t="str">
        <x:v>Маржа EBITDA</x:v>
      </x:c>
      <x:c r="B11" s="64" t="str">
        <x:v>%</x:v>
      </x:c>
      <x:c r="C11" s="86" t="n">
        <x:f>IF(C6=0,0,C10/C6)</x:f>
        <x:v>0.32852823256866637</x:v>
      </x:c>
      <x:c r="D11" s="86" t="n">
        <x:f>IF(D6=0,0,D10/D6)</x:f>
        <x:v>0.3037531147399106</x:v>
      </x:c>
      <x:c r="E11" s="86" t="n">
        <x:f>IF(E6=0,0,E10/E6)</x:f>
        <x:v>0.2773263223892381</x:v>
      </x:c>
      <x:c r="F11" s="86" t="n">
        <x:f>IF(F6=0,0,F10/F6)</x:f>
        <x:v>0.24913774388185403</x:v>
      </x:c>
      <x:c r="G11" s="86" t="n">
        <x:f>IF(G6=0,0,G10/G6)</x:f>
        <x:v>0.21906992680731102</x:v>
      </x:c>
      <x:c r="H11" s="86" t="n">
        <x:f>IF(H6=0,0,H10/H6)</x:f>
        <x:v>0.18699758859446503</x:v>
      </x:c>
      <x:c r="I11" s="86" t="n">
        <x:f>IF(I6=0,0,I10/I6)</x:f>
        <x:v>0.15278709450076258</x:v>
      </x:c>
      <x:c r="J11" s="86" t="n">
        <x:f>IF(J6=0,0,J10/J6)</x:f>
        <x:v>0.11629590080081344</x:v>
      </x:c>
      <x:c r="K11" s="86" t="n">
        <x:f>IF(K6=0,0,K10/K6)</x:f>
        <x:v>0.07737196085420094</x:v>
      </x:c>
      <x:c r="L11" s="86" t="n">
        <x:f>IF(L6=0,0,L10/L6)</x:f>
        <x:v>0.03585309157781406</x:v>
      </x:c>
      <x:c r="M11" s="86" t="n">
        <x:f>IF(M6=0,0,M10/M6)</x:f>
        <x:v>-0.00843370231699836</x:v>
      </x:c>
      <x:c r="N11" s="86" t="n">
        <x:f>IF(N6=0,0,N10/N6)</x:f>
        <x:v>-0.05567294913813164</x:v>
      </x:c>
      <x:c r="O11" s="86" t="n">
        <x:f>IF(O6=0,0,O10/O6)</x:f>
        <x:v>-0.10606147908067369</x:v>
      </x:c>
      <x:c r="P11" s="86" t="n">
        <x:f>IF(P6=0,0,P10/P6)</x:f>
        <x:v>-0.1598092443527182</x:v>
      </x:c>
      <x:c r="Q11" s="64" t="n">
        <x:f>IF(Q6=0,0,Q10/Q6)</x:f>
        <x:v>-0.2171401939762328</x:v>
      </x:c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 t="str">
        <x:v>Лизинговый платёж</x:v>
      </x:c>
      <x:c r="B12" s="64" t="str">
        <x:v>тыс. руб.</x:v>
      </x:c>
      <x:c r="C12" s="82" t="n">
        <x:f>'Лизинг'!C4</x:f>
        <x:v>91783.05808958119</x:v>
      </x:c>
      <x:c r="D12" s="82" t="n">
        <x:f>'Лизинг'!C5</x:f>
        <x:v>91783.05808958119</x:v>
      </x:c>
      <x:c r="E12" s="82" t="n">
        <x:f>'Лизинг'!C6</x:f>
        <x:v>91783.05808958119</x:v>
      </x:c>
      <x:c r="F12" s="82" t="n">
        <x:f>'Лизинг'!C7</x:f>
        <x:v>91783.05808958119</x:v>
      </x:c>
      <x:c r="G12" s="82" t="n">
        <x:f>'Лизинг'!C8</x:f>
        <x:v>91783.05808958119</x:v>
      </x:c>
      <x:c r="H12" s="82" t="n">
        <x:f>'Лизинг'!C9</x:f>
        <x:v>91783.05808958119</x:v>
      </x:c>
      <x:c r="I12" s="82" t="n">
        <x:f>'Лизинг'!C10</x:f>
        <x:v>91783.05808958119</x:v>
      </x:c>
      <x:c r="J12" s="82" t="n">
        <x:f>'Лизинг'!C11</x:f>
        <x:v>91783.05808958119</x:v>
      </x:c>
      <x:c r="K12" s="82" t="n">
        <x:f>'Лизинг'!C12</x:f>
        <x:v>91783.05808958119</x:v>
      </x:c>
      <x:c r="L12" s="82" t="n">
        <x:f>'Лизинг'!C13</x:f>
        <x:v>91783.05808958119</x:v>
      </x:c>
      <x:c r="M12" s="82" t="n">
        <x:f>'Лизинг'!C14</x:f>
        <x:v>91783.05808958119</x:v>
      </x:c>
      <x:c r="N12" s="82" t="n">
        <x:f>'Лизинг'!C15</x:f>
        <x:v>91783.05808958119</x:v>
      </x:c>
      <x:c r="O12" s="82" t="n">
        <x:f>'Лизинг'!C16</x:f>
        <x:v>91783.05808958119</x:v>
      </x:c>
      <x:c r="P12" s="82" t="n">
        <x:f>'Лизинг'!C17</x:f>
        <x:v>91783.05808958119</x:v>
      </x:c>
      <x:c r="Q12" s="64" t="n">
        <x:f>'Лизинг'!C18</x:f>
        <x:v>91783.05808958119</x:v>
      </x:c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 t="str">
        <x:v>Проценты</x:v>
      </x:c>
      <x:c r="B13" s="64" t="str">
        <x:v>тыс. руб.</x:v>
      </x:c>
      <x:c r="C13" s="82" t="n">
        <x:f>'Лизинг'!D4</x:f>
        <x:v>72600</x:v>
      </x:c>
      <x:c r="D13" s="82" t="n">
        <x:f>'Лизинг'!D5</x:f>
        <x:v>70489.86361014607</x:v>
      </x:c>
      <x:c r="E13" s="82" t="n">
        <x:f>'Лизинг'!D6</x:f>
        <x:v>68147.61221740821</x:v>
      </x:c>
      <x:c r="F13" s="82" t="n">
        <x:f>'Лизинг'!D7</x:f>
        <x:v>65547.71317146918</x:v>
      </x:c>
      <x:c r="G13" s="82" t="n">
        <x:f>'Лизинг'!D8</x:f>
        <x:v>62661.82523047686</x:v>
      </x:c>
      <x:c r="H13" s="82" t="n">
        <x:f>'Лизинг'!D9</x:f>
        <x:v>59458.489615975384</x:v>
      </x:c>
      <x:c r="I13" s="82" t="n">
        <x:f>'Лизинг'!D10</x:f>
        <x:v>55902.78708387875</x:v>
      </x:c>
      <x:c r="J13" s="82" t="n">
        <x:f>'Лизинг'!D11</x:f>
        <x:v>51955.95727325148</x:v>
      </x:c>
      <x:c r="K13" s="82" t="n">
        <x:f>'Лизинг'!D12</x:f>
        <x:v>47574.97618345521</x:v>
      </x:c>
      <x:c r="L13" s="82" t="n">
        <x:f>'Лизинг'!D13</x:f>
        <x:v>42712.08717378136</x:v>
      </x:c>
      <x:c r="M13" s="82" t="n">
        <x:f>'Лизинг'!D14</x:f>
        <x:v>37314.28037304337</x:v>
      </x:c>
      <x:c r="N13" s="82" t="n">
        <x:f>'Лизинг'!D15</x:f>
        <x:v>31322.71482422421</x:v>
      </x:c>
      <x:c r="O13" s="82" t="n">
        <x:f>'Лизинг'!D16</x:f>
        <x:v>24672.077065034944</x:v>
      </x:c>
      <x:c r="P13" s="82" t="n">
        <x:f>'Лизинг'!D17</x:f>
        <x:v>17289.869152334857</x:v>
      </x:c>
      <x:c r="Q13" s="64" t="n">
        <x:f>'Лизинг'!D18</x:f>
        <x:v>9095.61836923776</x:v>
      </x:c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84" t="str">
        <x:v>Тело долга</x:v>
      </x:c>
      <x:c r="B14" s="84" t="str">
        <x:v>тыс. руб.</x:v>
      </x:c>
      <x:c r="C14" s="85" t="n">
        <x:f>'Лизинг'!E4</x:f>
        <x:v>19183.058089581187</x:v>
      </x:c>
      <x:c r="D14" s="85" t="n">
        <x:f>'Лизинг'!E5</x:f>
        <x:v>21293.194479435115</x:v>
      </x:c>
      <x:c r="E14" s="85" t="n">
        <x:f>'Лизинг'!E6</x:f>
        <x:v>23635.445872172975</x:v>
      </x:c>
      <x:c r="F14" s="85" t="n">
        <x:f>'Лизинг'!E7</x:f>
        <x:v>26235.34491811201</x:v>
      </x:c>
      <x:c r="G14" s="85" t="n">
        <x:f>'Лизинг'!E8</x:f>
        <x:v>29121.232859104326</x:v>
      </x:c>
      <x:c r="H14" s="85" t="n">
        <x:f>'Лизинг'!E9</x:f>
        <x:v>32324.568473605803</x:v>
      </x:c>
      <x:c r="I14" s="85" t="n">
        <x:f>'Лизинг'!E10</x:f>
        <x:v>35880.27100570244</x:v>
      </x:c>
      <x:c r="J14" s="85" t="n">
        <x:f>'Лизинг'!E11</x:f>
        <x:v>39827.10081632971</x:v>
      </x:c>
      <x:c r="K14" s="85" t="n">
        <x:f>'Лизинг'!E12</x:f>
        <x:v>44208.081906125975</x:v>
      </x:c>
      <x:c r="L14" s="85" t="n">
        <x:f>'Лизинг'!E13</x:f>
        <x:v>49070.97091579983</x:v>
      </x:c>
      <x:c r="M14" s="85" t="n">
        <x:f>'Лизинг'!E14</x:f>
        <x:v>54468.777716537814</x:v>
      </x:c>
      <x:c r="N14" s="85" t="n">
        <x:f>'Лизинг'!E15</x:f>
        <x:v>60460.343265356976</x:v>
      </x:c>
      <x:c r="O14" s="85" t="n">
        <x:f>'Лизинг'!E16</x:f>
        <x:v>67110.98102454624</x:v>
      </x:c>
      <x:c r="P14" s="85" t="n">
        <x:f>'Лизинг'!E17</x:f>
        <x:v>74493.18893724633</x:v>
      </x:c>
      <x:c r="Q14" s="64" t="n">
        <x:f>'Лизинг'!E18</x:f>
        <x:v>82687.43972034342</x:v>
      </x:c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 t="str">
        <x:v>EBIT</x:v>
      </x:c>
      <x:c r="B15" s="64" t="str">
        <x:v>тыс. руб.</x:v>
      </x:c>
      <x:c r="C15" s="82" t="n">
        <x:f>C10-C12</x:f>
        <x:v>26487.10563513871</x:v>
      </x:c>
      <x:c r="D15" s="82" t="n">
        <x:f>D10-D12</x:f>
        <x:v>23035.61928210502</x:v>
      </x:c>
      <x:c r="E15" s="82" t="n">
        <x:f>E10-E12</x:f>
        <x:v>18287.75926670742</x:v>
      </x:c>
      <x:c r="F15" s="82" t="n">
        <x:f>F10-F12</x:f>
        <x:v>12043.850984462086</x:v>
      </x:c>
      <x:c r="G15" s="82" t="n">
        <x:f>G10-G12</x:f>
        <x:v>4078.053390097295</x:v>
      </x:c>
      <x:c r="H15" s="82" t="n">
        <x:f>H10-H12</x:f>
        <x:v>-5864.891249753811</x:v>
      </x:c>
      <x:c r="I15" s="82" t="n">
        <x:f>I10-I12</x:f>
        <x:v>-18073.3031472577</x:v>
      </x:c>
      <x:c r="J15" s="82" t="n">
        <x:f>J10-J12</x:f>
        <x:v>-32872.654068376156</x:v>
      </x:c>
      <x:c r="K15" s="82" t="n">
        <x:f>K10-K12</x:f>
        <x:v>-50630.15317573874</x:v>
      </x:c>
      <x:c r="L15" s="82" t="n">
        <x:f>L10-L12</x:f>
        <x:v>-71759.88955548032</x:v>
      </x:c>
      <x:c r="M15" s="82" t="n">
        <x:f>M10-M12</x:f>
        <x:v>-96728.59854926086</x:v>
      </x:c>
      <x:c r="N15" s="82" t="n">
        <x:f>N10-N12</x:f>
        <x:v>-126062.12708318872</x:v>
      </x:c>
      <x:c r="O15" s="82" t="n">
        <x:f>O10-O12</x:f>
        <x:v>-160352.6822251262</x:v>
      </x:c>
      <x:c r="P15" s="82" t="n">
        <x:f>P10-P12</x:f>
        <x:v>-200266.95732723118</x:v>
      </x:c>
      <x:c r="Q15" s="64" t="n">
        <x:f>Q10-Q12</x:f>
        <x:v>-246555.241451881</x:v>
      </x:c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 t="str">
        <x:v>Налог</x:v>
      </x:c>
      <x:c r="B16" s="64" t="str">
        <x:v>тыс. руб.</x:v>
      </x:c>
      <x:c r="C16" s="82" t="n">
        <x:f>MAX(C15,0)*'Допущения'!$B$15</x:f>
        <x:v>5297.421127027742</x:v>
      </x:c>
      <x:c r="D16" s="82" t="n">
        <x:f>MAX(D15,0)*'Допущения'!$B$15</x:f>
        <x:v>4607.123856421004</x:v>
      </x:c>
      <x:c r="E16" s="82" t="n">
        <x:f>MAX(E15,0)*'Допущения'!$B$15</x:f>
        <x:v>3657.5518533414843</x:v>
      </x:c>
      <x:c r="F16" s="82" t="n">
        <x:f>MAX(F15,0)*'Допущения'!$B$15</x:f>
        <x:v>2408.770196892417</x:v>
      </x:c>
      <x:c r="G16" s="82" t="n">
        <x:f>MAX(G15,0)*'Допущения'!$B$15</x:f>
        <x:v>815.6106780194591</x:v>
      </x:c>
      <x:c r="H16" s="82" t="n">
        <x:f>MAX(H15,0)*'Допущения'!$B$15</x:f>
        <x:v>0</x:v>
      </x:c>
      <x:c r="I16" s="82" t="n">
        <x:f>MAX(I15,0)*'Допущения'!$B$15</x:f>
        <x:v>0</x:v>
      </x:c>
      <x:c r="J16" s="82" t="n">
        <x:f>MAX(J15,0)*'Допущения'!$B$15</x:f>
        <x:v>0</x:v>
      </x:c>
      <x:c r="K16" s="82" t="n">
        <x:f>MAX(K15,0)*'Допущения'!$B$15</x:f>
        <x:v>0</x:v>
      </x:c>
      <x:c r="L16" s="82" t="n">
        <x:f>MAX(L15,0)*'Допущения'!$B$15</x:f>
        <x:v>0</x:v>
      </x:c>
      <x:c r="M16" s="82" t="n">
        <x:f>MAX(M15,0)*'Допущения'!$B$15</x:f>
        <x:v>0</x:v>
      </x:c>
      <x:c r="N16" s="82" t="n">
        <x:f>MAX(N15,0)*'Допущения'!$B$15</x:f>
        <x:v>0</x:v>
      </x:c>
      <x:c r="O16" s="82" t="n">
        <x:f>MAX(O15,0)*'Допущения'!$B$15</x:f>
        <x:v>0</x:v>
      </x:c>
      <x:c r="P16" s="82" t="n">
        <x:f>MAX(P15,0)*'Допущения'!$B$15</x:f>
        <x:v>0</x:v>
      </x:c>
      <x:c r="Q16" s="64" t="n">
        <x:f>MAX(Q15,0)*'Допущения'!$B$15</x:f>
        <x:v>0</x:v>
      </x:c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84" t="str">
        <x:v>Чистая прибыль</x:v>
      </x:c>
      <x:c r="B17" s="84" t="str">
        <x:v>тыс. руб.</x:v>
      </x:c>
      <x:c r="C17" s="85" t="n">
        <x:f>C15-C16</x:f>
        <x:v>21189.684508110968</x:v>
      </x:c>
      <x:c r="D17" s="85" t="n">
        <x:f>D15-D16</x:f>
        <x:v>18428.495425684017</x:v>
      </x:c>
      <x:c r="E17" s="85" t="n">
        <x:f>E15-E16</x:f>
        <x:v>14630.207413365937</x:v>
      </x:c>
      <x:c r="F17" s="85" t="n">
        <x:f>F15-F16</x:f>
        <x:v>9635.080787569668</x:v>
      </x:c>
      <x:c r="G17" s="85" t="n">
        <x:f>G15-G16</x:f>
        <x:v>3262.442712077836</x:v>
      </x:c>
      <x:c r="H17" s="85" t="n">
        <x:f>H15-H16</x:f>
        <x:v>-5864.891249753811</x:v>
      </x:c>
      <x:c r="I17" s="85" t="n">
        <x:f>I15-I16</x:f>
        <x:v>-18073.3031472577</x:v>
      </x:c>
      <x:c r="J17" s="85" t="n">
        <x:f>J15-J16</x:f>
        <x:v>-32872.654068376156</x:v>
      </x:c>
      <x:c r="K17" s="85" t="n">
        <x:f>K15-K16</x:f>
        <x:v>-50630.15317573874</x:v>
      </x:c>
      <x:c r="L17" s="85" t="n">
        <x:f>L15-L16</x:f>
        <x:v>-71759.88955548032</x:v>
      </x:c>
      <x:c r="M17" s="85" t="n">
        <x:f>M15-M16</x:f>
        <x:v>-96728.59854926086</x:v>
      </x:c>
      <x:c r="N17" s="85" t="n">
        <x:f>N15-N16</x:f>
        <x:v>-126062.12708318872</x:v>
      </x:c>
      <x:c r="O17" s="85" t="n">
        <x:f>O15-O16</x:f>
        <x:v>-160352.6822251262</x:v>
      </x:c>
      <x:c r="P17" s="85" t="n">
        <x:f>P15-P16</x:f>
        <x:v>-200266.95732723118</x:v>
      </x:c>
      <x:c r="Q17" s="64" t="n">
        <x:f>Q15-Q16</x:f>
        <x:v>-246555.241451881</x:v>
      </x:c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 t="str">
        <x:v>OCF</x:v>
      </x:c>
      <x:c r="B18" s="64" t="str">
        <x:v>тыс. руб.</x:v>
      </x:c>
      <x:c r="C18" s="82" t="n">
        <x:f>C6-C9-C16</x:f>
        <x:v>112972.74259769215</x:v>
      </x:c>
      <x:c r="D18" s="82" t="n">
        <x:f>D6-D9-D16</x:f>
        <x:v>110211.5535152652</x:v>
      </x:c>
      <x:c r="E18" s="82" t="n">
        <x:f>E6-E9-E16</x:f>
        <x:v>106413.26550294712</x:v>
      </x:c>
      <x:c r="F18" s="82" t="n">
        <x:f>F6-F9-F16</x:f>
        <x:v>101418.13887715085</x:v>
      </x:c>
      <x:c r="G18" s="82" t="n">
        <x:f>G6-G9-G16</x:f>
        <x:v>95045.50080165903</x:v>
      </x:c>
      <x:c r="H18" s="82" t="n">
        <x:f>H6-H9-H16</x:f>
        <x:v>85918.16683982738</x:v>
      </x:c>
      <x:c r="I18" s="82" t="n">
        <x:f>I6-I9-I16</x:f>
        <x:v>73709.75494232349</x:v>
      </x:c>
      <x:c r="J18" s="82" t="n">
        <x:f>J6-J9-J16</x:f>
        <x:v>58910.40402120503</x:v>
      </x:c>
      <x:c r="K18" s="82" t="n">
        <x:f>K6-K9-K16</x:f>
        <x:v>41152.904913842445</x:v>
      </x:c>
      <x:c r="L18" s="82" t="n">
        <x:f>L6-L9-L16</x:f>
        <x:v>20023.16853410087</x:v>
      </x:c>
      <x:c r="M18" s="82" t="n">
        <x:f>M6-M9-M16</x:f>
        <x:v>-4945.5404596796725</x:v>
      </x:c>
      <x:c r="N18" s="82" t="n">
        <x:f>N6-N9-N16</x:f>
        <x:v>-34279.068993607536</x:v>
      </x:c>
      <x:c r="O18" s="82" t="n">
        <x:f>O6-O9-O16</x:f>
        <x:v>-68569.62413554499</x:v>
      </x:c>
      <x:c r="P18" s="82" t="n">
        <x:f>P6-P9-P16</x:f>
        <x:v>-108483.89923764998</x:v>
      </x:c>
      <x:c r="Q18" s="64" t="n">
        <x:f>Q6-Q9-Q16</x:f>
        <x:v>-154772.1833622998</x:v>
      </x:c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84" t="str">
        <x:v>FCF</x:v>
      </x:c>
      <x:c r="B19" s="84" t="str">
        <x:v>тыс. руб.</x:v>
      </x:c>
      <x:c r="C19" s="85" t="n">
        <x:f>C18-C12</x:f>
        <x:v>21189.684508110964</x:v>
      </x:c>
      <x:c r="D19" s="85" t="n">
        <x:f>D18-D12</x:f>
        <x:v>18428.495425684014</x:v>
      </x:c>
      <x:c r="E19" s="85" t="n">
        <x:f>E18-E12</x:f>
        <x:v>14630.207413365933</x:v>
      </x:c>
      <x:c r="F19" s="85" t="n">
        <x:f>F18-F12</x:f>
        <x:v>9635.080787569663</x:v>
      </x:c>
      <x:c r="G19" s="85" t="n">
        <x:f>G18-G12</x:f>
        <x:v>3262.442712077842</x:v>
      </x:c>
      <x:c r="H19" s="85" t="n">
        <x:f>H18-H12</x:f>
        <x:v>-5864.891249753811</x:v>
      </x:c>
      <x:c r="I19" s="85" t="n">
        <x:f>I18-I12</x:f>
        <x:v>-18073.3031472577</x:v>
      </x:c>
      <x:c r="J19" s="85" t="n">
        <x:f>J18-J12</x:f>
        <x:v>-32872.654068376156</x:v>
      </x:c>
      <x:c r="K19" s="85" t="n">
        <x:f>K18-K12</x:f>
        <x:v>-50630.15317573874</x:v>
      </x:c>
      <x:c r="L19" s="85" t="n">
        <x:f>L18-L12</x:f>
        <x:v>-71759.88955548032</x:v>
      </x:c>
      <x:c r="M19" s="85" t="n">
        <x:f>M18-M12</x:f>
        <x:v>-96728.59854926086</x:v>
      </x:c>
      <x:c r="N19" s="85" t="n">
        <x:f>N18-N12</x:f>
        <x:v>-126062.12708318872</x:v>
      </x:c>
      <x:c r="O19" s="85" t="n">
        <x:f>O18-O12</x:f>
        <x:v>-160352.6822251262</x:v>
      </x:c>
      <x:c r="P19" s="85" t="n">
        <x:f>P18-P12</x:f>
        <x:v>-200266.95732723118</x:v>
      </x:c>
      <x:c r="Q19" s="64" t="n">
        <x:f>Q18-Q12</x:f>
        <x:v>-246555.241451881</x:v>
      </x:c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 t="str">
        <x:v>Накопленный FCF</x:v>
      </x:c>
      <x:c r="B20" s="64" t="str">
        <x:v>тыс. руб.</x:v>
      </x:c>
      <x:c r="C20" s="64" t="n">
        <x:f>C19</x:f>
        <x:v>21189.684508110964</x:v>
      </x:c>
      <x:c r="D20" s="64" t="n">
        <x:f>C20+D19</x:f>
        <x:v>39618.17993379498</x:v>
      </x:c>
      <x:c r="E20" s="64" t="n">
        <x:f>D20+E19</x:f>
        <x:v>54248.38734716091</x:v>
      </x:c>
      <x:c r="F20" s="64" t="n">
        <x:f>E20+F19</x:f>
        <x:v>63883.468134730574</x:v>
      </x:c>
      <x:c r="G20" s="64" t="n">
        <x:f>F20+G19</x:f>
        <x:v>67145.91084680842</x:v>
      </x:c>
      <x:c r="H20" s="64" t="n">
        <x:f>G20+H19</x:f>
        <x:v>61281.019597054605</x:v>
      </x:c>
      <x:c r="I20" s="64" t="n">
        <x:f>H20+I19</x:f>
        <x:v>43207.716449796906</x:v>
      </x:c>
      <x:c r="J20" s="64" t="n">
        <x:f>I20+J19</x:f>
        <x:v>10335.06238142075</x:v>
      </x:c>
      <x:c r="K20" s="64" t="n">
        <x:f>J20+K19</x:f>
        <x:v>-40295.09079431799</x:v>
      </x:c>
      <x:c r="L20" s="64" t="n">
        <x:f>K20+L19</x:f>
        <x:v>-112054.98034979831</x:v>
      </x:c>
      <x:c r="M20" s="64" t="n">
        <x:f>L20+M19</x:f>
        <x:v>-208783.57889905915</x:v>
      </x:c>
      <x:c r="N20" s="64" t="n">
        <x:f>M20+N19</x:f>
        <x:v>-334845.7059822479</x:v>
      </x:c>
      <x:c r="O20" s="64" t="n">
        <x:f>N20+O19</x:f>
        <x:v>-495198.3882073741</x:v>
      </x:c>
      <x:c r="P20" s="64" t="n">
        <x:f>O20+P19</x:f>
        <x:v>-695465.3455346052</x:v>
      </x:c>
      <x:c r="Q20" s="64" t="n">
        <x:f>P20+Q19</x:f>
        <x:v>-942020.5869864862</x:v>
      </x:c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 t="str">
        <x:v>DSCR</x:v>
      </x:c>
      <x:c r="B21" s="64" t="str">
        <x:v>x</x:v>
      </x:c>
      <x:c r="C21" s="87" t="n">
        <x:f>IF(C12=0,0,C10/C12)</x:f>
        <x:v>1.2885838213114127</x:v>
      </x:c>
      <x:c r="D21" s="87" t="n">
        <x:f>IF(D12=0,0,D10/D12)</x:f>
        <x:v>1.2509789906937077</x:v>
      </x:c>
      <x:c r="E21" s="87" t="n">
        <x:f>IF(E12=0,0,E10/E12)</x:f>
        <x:v>1.1992498359431256</x:v>
      </x:c>
      <x:c r="F21" s="87" t="n">
        <x:f>IF(F12=0,0,F10/F12)</x:f>
        <x:v>1.1312208509407822</x:v>
      </x:c>
      <x:c r="G21" s="87" t="n">
        <x:f>IF(G12=0,0,G10/G12)</x:f>
        <x:v>1.0444314394723815</x:v>
      </x:c>
      <x:c r="H21" s="87" t="n">
        <x:f>IF(H12=0,0,H10/H12)</x:f>
        <x:v>0.9361005029487074</x:v>
      </x:c>
      <x:c r="I21" s="87" t="n">
        <x:f>IF(I12=0,0,I10/I12)</x:f>
        <x:v>0.8030867185791742</x:v>
      </x:c>
      <x:c r="J21" s="87" t="n">
        <x:f>IF(J12=0,0,J10/J12)</x:f>
        <x:v>0.6418439878491288</x:v>
      </x:c>
      <x:c r="K21" s="87" t="n">
        <x:f>IF(K12=0,0,K10/K12)</x:f>
        <x:v>0.4483714725835001</x:v>
      </x:c>
      <x:c r="L21" s="87" t="n">
        <x:f>IF(L12=0,0,L10/L12)</x:f>
        <x:v>0.21815756579561837</x:v>
      </x:c>
      <x:c r="M21" s="87" t="n">
        <x:f>IF(M12=0,0,M10/M12)</x:f>
        <x:v>-0.05388293398170254</x:v>
      </x:c>
      <x:c r="N21" s="87" t="n">
        <x:f>IF(N12=0,0,N10/N12)</x:f>
        <x:v>-0.37347926411594196</x:v>
      </x:c>
      <x:c r="O21" s="87" t="n">
        <x:f>IF(O12=0,0,O10/O12)</x:f>
        <x:v>-0.7470836727691111</x:v>
      </x:c>
      <x:c r="P21" s="87" t="n">
        <x:f>IF(P12=0,0,P10/P12)</x:f>
        <x:v>-1.1819599553086213</x:v>
      </x:c>
      <x:c r="Q21" s="64" t="n">
        <x:f>IF(Q12=0,0,Q10/Q12)</x:f>
        <x:v>-1.6862827038432366</x:v>
      </x:c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" t="str">
        <x:v>СЦЕНАРНЫЙ АНАЛИЗ</x:v>
      </x:c>
      <x:c r="B1" s="3" t="str">
        <x:v>СЦЕНАРНЫЙ АНАЛИЗ</x:v>
      </x:c>
      <x:c r="C1" s="3" t="str">
        <x:v>СЦЕНАРНЫЙ АНАЛИЗ</x:v>
      </x:c>
      <x:c r="D1" s="3" t="str">
        <x:v>СЦЕНАРНЫЙ АНАЛИЗ</x:v>
      </x:c>
      <x:c r="E1" s="3" t="str">
        <x:v>СЦЕНАРНЫЙ АНАЛИЗ</x:v>
      </x:c>
      <x:c r="F1" s="3" t="str">
        <x:v>СЦЕНАРНЫЙ АНАЛИЗ</x:v>
      </x:c>
      <x:c r="G1" s="3" t="str">
        <x:v>СЦЕНАРНЫЙ АНАЛИЗ</x:v>
      </x:c>
      <x:c r="H1" s="3" t="str">
        <x:v>СЦЕНАРНЫЙ АНАЛИЗ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9" t="str">
        <x:v>Показатель</x:v>
      </x:c>
      <x:c r="B3" s="9" t="str">
        <x:v>30 ч/мес</x:v>
      </x:c>
      <x:c r="C3" s="9" t="str">
        <x:v>40 ч/мес</x:v>
      </x:c>
      <x:c r="D3" s="9" t="str">
        <x:v>50 ч/мес</x:v>
      </x:c>
      <x:c r="E3" s="9" t="str">
        <x:v>57,7 факт</x:v>
      </x:c>
      <x:c r="F3" s="9" t="str">
        <x:v>60 ч/мес</x:v>
      </x:c>
      <x:c r="G3" s="9" t="str">
        <x:v>70 ч/мес</x:v>
      </x:c>
      <x:c r="H3" s="9" t="str">
        <x:v>80 ч/мес</x:v>
      </x:c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4" t="str">
        <x:v>Налёт, ч/год</x:v>
      </x:c>
      <x:c r="B4" s="82" t="n">
        <x:v>360</x:v>
      </x:c>
      <x:c r="C4" s="82" t="n">
        <x:v>480</x:v>
      </x:c>
      <x:c r="D4" s="82" t="n">
        <x:v>600</x:v>
      </x:c>
      <x:c r="E4" s="82" t="n">
        <x:v>692.5714284</x:v>
      </x:c>
      <x:c r="F4" s="82" t="n">
        <x:v>720</x:v>
      </x:c>
      <x:c r="G4" s="82" t="n">
        <x:v>840</x:v>
      </x:c>
      <x:c r="H4" s="82" t="n">
        <x:v>960</x:v>
      </x:c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4" t="str">
        <x:v>Ставка ТОиР, руб./л/ч</x:v>
      </x:c>
      <x:c r="B5" s="82" t="n">
        <x:f>37500+96000000*'Допущения'!$B$14/(1-(1+'Допущения'!$B$14)^(-2000/B4))/B4+38000000*'Допущения'!$B$14/(1-(1+'Допущения'!$B$14)^(-1500/B4))/B4+12000000*'Допущения'!$B$14/(1-(1+'Допущения'!$B$14)^(-600/B4))/B4+18000000*'Допущения'!$B$14/(1-(1+'Допущения'!$B$14)^(-3000/B4))/B4+8000000*'Допущения'!$B$14/(1-(1+'Допущения'!$B$14)^(-3000/B4))/B4+75000000*'Допущения'!$B$14/(1-(1+'Допущения'!$B$14)^(-3000/B4))/B4+75000000*'Допущения'!$B$14/(1-(1+'Допущения'!$B$14)^(-5000/B4))/B4</x:f>
        <x:v>249515.56547830455</x:v>
      </x:c>
      <x:c r="C5" s="82" t="n">
        <x:f>37500+96000000*'Допущения'!$B$14/(1-(1+'Допущения'!$B$14)^(-2000/C4))/C4+38000000*'Допущения'!$B$14/(1-(1+'Допущения'!$B$14)^(-1500/C4))/C4+12000000*'Допущения'!$B$14/(1-(1+'Допущения'!$B$14)^(-600/C4))/C4+18000000*'Допущения'!$B$14/(1-(1+'Допущения'!$B$14)^(-3000/C4))/C4+8000000*'Допущения'!$B$14/(1-(1+'Допущения'!$B$14)^(-3000/C4))/C4+75000000*'Допущения'!$B$14/(1-(1+'Допущения'!$B$14)^(-3000/C4))/C4+75000000*'Допущения'!$B$14/(1-(1+'Допущения'!$B$14)^(-5000/C4))/C4</x:f>
        <x:v>232646.36065501947</x:v>
      </x:c>
      <x:c r="D5" s="82" t="n">
        <x:f>37500+96000000*'Допущения'!$B$14/(1-(1+'Допущения'!$B$14)^(-2000/D4))/D4+38000000*'Допущения'!$B$14/(1-(1+'Допущения'!$B$14)^(-1500/D4))/D4+12000000*'Допущения'!$B$14/(1-(1+'Допущения'!$B$14)^(-600/D4))/D4+18000000*'Допущения'!$B$14/(1-(1+'Допущения'!$B$14)^(-3000/D4))/D4+8000000*'Допущения'!$B$14/(1-(1+'Допущения'!$B$14)^(-3000/D4))/D4+75000000*'Допущения'!$B$14/(1-(1+'Допущения'!$B$14)^(-3000/D4))/D4+75000000*'Допущения'!$B$14/(1-(1+'Допущения'!$B$14)^(-5000/D4))/D4</x:f>
        <x:v>222976.06045880014</x:v>
      </x:c>
      <x:c r="E5" s="82" t="n">
        <x:f>37500+96000000*'Допущения'!$B$14/(1-(1+'Допущения'!$B$14)^(-2000/E4))/E4+38000000*'Допущения'!$B$14/(1-(1+'Допущения'!$B$14)^(-1500/E4))/E4+12000000*'Допущения'!$B$14/(1-(1+'Допущения'!$B$14)^(-600/E4))/E4+18000000*'Допущения'!$B$14/(1-(1+'Допущения'!$B$14)^(-3000/E4))/E4+8000000*'Допущения'!$B$14/(1-(1+'Допущения'!$B$14)^(-3000/E4))/E4+75000000*'Допущения'!$B$14/(1-(1+'Допущения'!$B$14)^(-3000/E4))/E4+75000000*'Допущения'!$B$14/(1-(1+'Допущения'!$B$14)^(-5000/E4))/E4</x:f>
        <x:v>217948.85784473515</x:v>
      </x:c>
      <x:c r="F5" s="82" t="n">
        <x:f>37500+96000000*'Допущения'!$B$14/(1-(1+'Допущения'!$B$14)^(-2000/F4))/F4+38000000*'Допущения'!$B$14/(1-(1+'Допущения'!$B$14)^(-1500/F4))/F4+12000000*'Допущения'!$B$14/(1-(1+'Допущения'!$B$14)^(-600/F4))/F4+18000000*'Допущения'!$B$14/(1-(1+'Допущения'!$B$14)^(-3000/F4))/F4+8000000*'Допущения'!$B$14/(1-(1+'Допущения'!$B$14)^(-3000/F4))/F4+75000000*'Допущения'!$B$14/(1-(1+'Допущения'!$B$14)^(-3000/F4))/F4+75000000*'Допущения'!$B$14/(1-(1+'Допущения'!$B$14)^(-5000/F4))/F4</x:f>
        <x:v>216723.1203446743</x:v>
      </x:c>
      <x:c r="G5" s="82" t="n">
        <x:f>37500+96000000*'Допущения'!$B$14/(1-(1+'Допущения'!$B$14)^(-2000/G4))/G4+38000000*'Допущения'!$B$14/(1-(1+'Допущения'!$B$14)^(-1500/G4))/G4+12000000*'Допущения'!$B$14/(1-(1+'Допущения'!$B$14)^(-600/G4))/G4+18000000*'Допущения'!$B$14/(1-(1+'Допущения'!$B$14)^(-3000/G4))/G4+8000000*'Допущения'!$B$14/(1-(1+'Допущения'!$B$14)^(-3000/G4))/G4+75000000*'Допущения'!$B$14/(1-(1+'Допущения'!$B$14)^(-3000/G4))/G4+75000000*'Допущения'!$B$14/(1-(1+'Допущения'!$B$14)^(-5000/G4))/G4</x:f>
        <x:v>212353.27652408375</x:v>
      </x:c>
      <x:c r="H5" s="82" t="n">
        <x:f>37500+96000000*'Допущения'!$B$14/(1-(1+'Допущения'!$B$14)^(-2000/H4))/H4+38000000*'Допущения'!$B$14/(1-(1+'Допущения'!$B$14)^(-1500/H4))/H4+12000000*'Допущения'!$B$14/(1-(1+'Допущения'!$B$14)^(-600/H4))/H4+18000000*'Допущения'!$B$14/(1-(1+'Допущения'!$B$14)^(-3000/H4))/H4+8000000*'Допущения'!$B$14/(1-(1+'Допущения'!$B$14)^(-3000/H4))/H4+75000000*'Допущения'!$B$14/(1-(1+'Допущения'!$B$14)^(-3000/H4))/H4+75000000*'Допущения'!$B$14/(1-(1+'Допущения'!$B$14)^(-5000/H4))/H4</x:f>
        <x:v>209129.20011414905</x:v>
      </x:c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 t="str">
        <x:v>Выручка Год 1, тыс. руб.</x:v>
      </x:c>
      <x:c r="B6" s="82" t="n">
        <x:f>'Допущения'!$B$9*'Допущения'!$B$10/1000</x:f>
        <x:v>30000</x:v>
      </x:c>
      <x:c r="C6" s="82" t="n">
        <x:f>'Допущения'!$B$9*'Допущения'!$B$10/1000</x:f>
        <x:v>30000</x:v>
      </x:c>
      <x:c r="D6" s="82" t="n">
        <x:f>'Допущения'!$B$9*'Допущения'!$B$10/1000</x:f>
        <x:v>30000</x:v>
      </x:c>
      <x:c r="E6" s="82" t="n">
        <x:f>'Допущения'!$B$9*'Допущения'!$B$10/1000</x:f>
        <x:v>30000</x:v>
      </x:c>
      <x:c r="F6" s="82" t="n">
        <x:f>'Допущения'!$B$9*'Допущения'!$B$10/1000</x:f>
        <x:v>30000</x:v>
      </x:c>
      <x:c r="G6" s="82" t="n">
        <x:f>'Допущения'!$B$9*'Допущения'!$B$10/1000</x:f>
        <x:v>30000</x:v>
      </x:c>
      <x:c r="H6" s="82" t="n">
        <x:f>'Допущения'!$B$9*'Допущения'!$B$10/1000</x:f>
        <x:v>30000</x:v>
      </x:c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 t="str">
        <x:v>EBITDA Год 1, тыс. руб.</x:v>
      </x:c>
      <x:c r="B7" s="82" t="n">
        <x:f>B6-'Допущения'!$B$12*B4/1000-B5*B4/1000</x:f>
        <x:v>-124592.12357218965</x:v>
      </x:c>
      <x:c r="C7" s="82" t="n">
        <x:f>C6-'Допущения'!$B$12*C4/1000-C5*C4/1000</x:f>
        <x:v>-168025.61311440932</x:v>
      </x:c>
      <x:c r="D7" s="82" t="n">
        <x:f>D6-'Допущения'!$B$12*D4/1000-D5*D4/1000</x:f>
        <x:v>-211729.8362752801</x:v>
      </x:c>
      <x:c r="E7" s="82" t="n">
        <x:f>E6-'Допущения'!$B$12*E4/1000-E5*E4/1000</x:f>
        <x:v>-245543.59976483556</x:v>
      </x:c>
      <x:c r="F7" s="82" t="n">
        <x:f>F6-'Допущения'!$B$12*F4/1000-F5*F4/1000</x:f>
        <x:v>-255573.68664816552</x:v>
      </x:c>
      <x:c r="G7" s="82" t="n">
        <x:f>G6-'Допущения'!$B$12*G4/1000-G5*G4/1000</x:f>
        <x:v>-299498.63228023035</x:v>
      </x:c>
      <x:c r="H7" s="82" t="n">
        <x:f>H6-'Допущения'!$B$12*H4/1000-H5*H4/1000</x:f>
        <x:v>-343474.7521095831</x:v>
      </x:c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4" t="str">
        <x:v>Маржа EBITDA</x:v>
      </x:c>
      <x:c r="B8" s="86" t="n">
        <x:f>B7/B6</x:f>
        <x:v>-4.153070785739655</x:v>
      </x:c>
      <x:c r="C8" s="86" t="n">
        <x:f>C7/C6</x:f>
        <x:v>-5.6008537704803105</x:v>
      </x:c>
      <x:c r="D8" s="86" t="n">
        <x:f>D7/D6</x:f>
        <x:v>-7.057661209176003</x:v>
      </x:c>
      <x:c r="E8" s="86" t="n">
        <x:f>E7/E6</x:f>
        <x:v>-8.184786658827852</x:v>
      </x:c>
      <x:c r="F8" s="86" t="n">
        <x:f>F7/F6</x:f>
        <x:v>-8.519122888272184</x:v>
      </x:c>
      <x:c r="G8" s="86" t="n">
        <x:f>G7/G6</x:f>
        <x:v>-9.983287742674344</x:v>
      </x:c>
      <x:c r="H8" s="86" t="n">
        <x:f>H7/H6</x:f>
        <x:v>-11.44915840365277</x:v>
      </x:c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4" t="str">
        <x:v>Лизинговый платёж, тыс. руб.</x:v>
      </x:c>
      <x:c r="B9" s="82" t="n">
        <x:f>'Лизинг'!C4</x:f>
        <x:v>91783.05808958119</x:v>
      </x:c>
      <x:c r="C9" s="82" t="n">
        <x:f>'Лизинг'!C4</x:f>
        <x:v>91783.05808958119</x:v>
      </x:c>
      <x:c r="D9" s="82" t="n">
        <x:f>'Лизинг'!C4</x:f>
        <x:v>91783.05808958119</x:v>
      </x:c>
      <x:c r="E9" s="82" t="n">
        <x:f>'Лизинг'!C4</x:f>
        <x:v>91783.05808958119</x:v>
      </x:c>
      <x:c r="F9" s="82" t="n">
        <x:f>'Лизинг'!C4</x:f>
        <x:v>91783.05808958119</x:v>
      </x:c>
      <x:c r="G9" s="82" t="n">
        <x:f>'Лизинг'!C4</x:f>
        <x:v>91783.05808958119</x:v>
      </x:c>
      <x:c r="H9" s="82" t="n">
        <x:f>'Лизинг'!C4</x:f>
        <x:v>91783.05808958119</x:v>
      </x:c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 t="str">
        <x:v>EBIT Год 1, тыс. руб.</x:v>
      </x:c>
      <x:c r="B10" s="82" t="n">
        <x:f>B7-B9</x:f>
        <x:v>-216375.18166177085</x:v>
      </x:c>
      <x:c r="C10" s="82" t="n">
        <x:f>C7-C9</x:f>
        <x:v>-259808.67120399053</x:v>
      </x:c>
      <x:c r="D10" s="82" t="n">
        <x:f>D7-D9</x:f>
        <x:v>-303512.8943648613</x:v>
      </x:c>
      <x:c r="E10" s="82" t="n">
        <x:f>E7-E9</x:f>
        <x:v>-337326.65785441676</x:v>
      </x:c>
      <x:c r="F10" s="82" t="n">
        <x:f>F7-F9</x:f>
        <x:v>-347356.7447377467</x:v>
      </x:c>
      <x:c r="G10" s="82" t="n">
        <x:f>G7-G9</x:f>
        <x:v>-391281.69036981155</x:v>
      </x:c>
      <x:c r="H10" s="82" t="n">
        <x:f>H7-H9</x:f>
        <x:v>-435257.8101991643</x:v>
      </x:c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 t="str">
        <x:v>Чистая прибыль Год 1, тыс. руб.</x:v>
      </x:c>
      <x:c r="B11" s="82" t="n">
        <x:f>B10-MAX(B10,0)*'Допущения'!$B$15</x:f>
        <x:v>-216375.18166177085</x:v>
      </x:c>
      <x:c r="C11" s="82" t="n">
        <x:f>C10-MAX(C10,0)*'Допущения'!$B$15</x:f>
        <x:v>-259808.67120399053</x:v>
      </x:c>
      <x:c r="D11" s="82" t="n">
        <x:f>D10-MAX(D10,0)*'Допущения'!$B$15</x:f>
        <x:v>-303512.8943648613</x:v>
      </x:c>
      <x:c r="E11" s="82" t="n">
        <x:f>E10-MAX(E10,0)*'Допущения'!$B$15</x:f>
        <x:v>-337326.65785441676</x:v>
      </x:c>
      <x:c r="F11" s="82" t="n">
        <x:f>F10-MAX(F10,0)*'Допущения'!$B$15</x:f>
        <x:v>-347356.7447377467</x:v>
      </x:c>
      <x:c r="G11" s="82" t="n">
        <x:f>G10-MAX(G10,0)*'Допущения'!$B$15</x:f>
        <x:v>-391281.69036981155</x:v>
      </x:c>
      <x:c r="H11" s="82" t="n">
        <x:f>H10-MAX(H10,0)*'Допущения'!$B$15</x:f>
        <x:v>-435257.8101991643</x:v>
      </x:c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 t="str">
        <x:v>DSCR Год 1</x:v>
      </x:c>
      <x:c r="B12" s="87" t="n">
        <x:f>B7/B9</x:f>
        <x:v>-1.357463198170914</x:v>
      </x:c>
      <x:c r="C12" s="87" t="n">
        <x:f>C7/C9</x:f>
        <x:v>-1.8306822262384703</x:v>
      </x:c>
      <x:c r="D12" s="87" t="n">
        <x:f>D7/D9</x:f>
        <x:v>-2.306850966641683</x:v>
      </x:c>
      <x:c r="E12" s="87" t="n">
        <x:f>E7/E9</x:f>
        <x:v>-2.6752606077385495</x:v>
      </x:c>
      <x:c r="F12" s="87" t="n">
        <x:f>F7/F9</x:f>
        <x:v>-2.7845409813946604</x:v>
      </x:c>
      <x:c r="G12" s="87" t="n">
        <x:f>G7/G9</x:f>
        <x:v>-3.263114549832461</x:v>
      </x:c>
      <x:c r="H12" s="87" t="n">
        <x:f>H7/H9</x:f>
        <x:v>-3.742245674298064</x:v>
      </x:c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</x:cols>
  <x:sheetData>
    <x:row r="1" ht="28" customHeight="1">
      <x:c r="A1" s="3" t="str">
        <x:v>АНАЛИЗ ЧУВСТВИТЕЛЬНОСТИ NPV И DSCR</x:v>
      </x:c>
      <x:c r="B1" s="3" t="str">
        <x:v>АНАЛИЗ ЧУВСТВИТЕЛЬНОСТИ NPV И DSCR</x:v>
      </x:c>
      <x:c r="C1" s="3" t="str">
        <x:v>АНАЛИЗ ЧУВСТВИТЕЛЬНОСТИ NPV И DSCR</x:v>
      </x:c>
      <x:c r="D1" s="3" t="str">
        <x:v>АНАЛИЗ ЧУВСТВИТЕЛЬНОСТИ NPV И DSCR</x:v>
      </x:c>
      <x:c r="E1" s="3" t="str">
        <x:v>АНАЛИЗ ЧУВСТВИТЕЛЬНОСТИ NPV И DSCR</x:v>
      </x:c>
      <x:c r="F1" s="3" t="str">
        <x:v>АНАЛИЗ ЧУВСТВИТЕЛЬНОСТИ NPV И DSCR</x:v>
      </x:c>
      <x:c r="G1" s="3" t="str">
        <x:v>АНАЛИЗ ЧУВСТВИТЕЛЬНОСТИ NPV И DSCR</x:v>
      </x:c>
      <x:c r="H1" s="3" t="str">
        <x:v>АНАЛИЗ ЧУВСТВИТЕЛЬНОСТИ NPV И DSCR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9" t="str">
        <x:v>Параметр</x:v>
      </x:c>
      <x:c r="B3" s="9" t="str">
        <x:v>NPV -20%</x:v>
      </x:c>
      <x:c r="C3" s="9" t="str">
        <x:v>NPV база</x:v>
      </x:c>
      <x:c r="D3" s="9" t="str">
        <x:v>NPV +20%</x:v>
      </x:c>
      <x:c r="E3" s="9" t="str">
        <x:v>DSCR -20%</x:v>
      </x:c>
      <x:c r="F3" s="9" t="str">
        <x:v>DSCR +20%</x:v>
      </x:c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4" t="str">
        <x:v>Ставка лётного часа</x:v>
      </x:c>
      <x:c r="B4" s="82" t="str">
        <x:v>см. HTML</x:v>
      </x:c>
      <x:c r="C4" s="82" t="n">
        <x:f>'Dashboard'!G6</x:f>
        <x:v>-132.11400630776478</x:v>
      </x:c>
      <x:c r="D4" s="82" t="str">
        <x:v>см. HTML</x:v>
      </x:c>
      <x:c r="E4" s="82" t="n">
        <x:f>'Dashboard'!C9</x:f>
        <x:v>-1.6862827038432366</x:v>
      </x:c>
      <x:c r="F4" s="82" t="n">
        <x:f>'Dashboard'!C9</x:f>
        <x:v>-1.6862827038432366</x:v>
      </x:c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4" t="str">
        <x:v>Налёт</x:v>
      </x:c>
      <x:c r="B5" s="82" t="str">
        <x:v>см. HTML</x:v>
      </x:c>
      <x:c r="C5" s="82" t="n">
        <x:f>'Dashboard'!G6</x:f>
        <x:v>-132.11400630776478</x:v>
      </x:c>
      <x:c r="D5" s="82" t="str">
        <x:v>см. HTML</x:v>
      </x:c>
      <x:c r="E5" s="82" t="n">
        <x:f>'Dashboard'!C9</x:f>
        <x:v>-1.6862827038432366</x:v>
      </x:c>
      <x:c r="F5" s="82" t="n">
        <x:f>'Dashboard'!C9</x:f>
        <x:v>-1.6862827038432366</x:v>
      </x:c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 t="str">
        <x:v>Стоимость вертолёта</x:v>
      </x:c>
      <x:c r="B6" s="82" t="str">
        <x:v>см. HTML</x:v>
      </x:c>
      <x:c r="C6" s="82" t="n">
        <x:f>'Dashboard'!G6</x:f>
        <x:v>-132.11400630776478</x:v>
      </x:c>
      <x:c r="D6" s="82" t="str">
        <x:v>см. HTML</x:v>
      </x:c>
      <x:c r="E6" s="82" t="n">
        <x:f>'Dashboard'!C9</x:f>
        <x:v>-1.6862827038432366</x:v>
      </x:c>
      <x:c r="F6" s="82" t="n">
        <x:f>'Dashboard'!C9</x:f>
        <x:v>-1.6862827038432366</x:v>
      </x:c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 t="str">
        <x:v>Ставка лизинга</x:v>
      </x:c>
      <x:c r="B7" s="82" t="str">
        <x:v>см. HTML</x:v>
      </x:c>
      <x:c r="C7" s="82" t="n">
        <x:f>'Dashboard'!G6</x:f>
        <x:v>-132.11400630776478</x:v>
      </x:c>
      <x:c r="D7" s="82" t="str">
        <x:v>см. HTML</x:v>
      </x:c>
      <x:c r="E7" s="82" t="n">
        <x:f>'Dashboard'!C9</x:f>
        <x:v>-1.6862827038432366</x:v>
      </x:c>
      <x:c r="F7" s="82" t="n">
        <x:f>'Dashboard'!C9</x:f>
        <x:v>-1.6862827038432366</x:v>
      </x:c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4" t="str">
        <x:v>OPEX без ТОиР</x:v>
      </x:c>
      <x:c r="B8" s="82" t="str">
        <x:v>см. HTML</x:v>
      </x:c>
      <x:c r="C8" s="82" t="n">
        <x:f>'Dashboard'!G6</x:f>
        <x:v>-132.11400630776478</x:v>
      </x:c>
      <x:c r="D8" s="82" t="str">
        <x:v>см. HTML</x:v>
      </x:c>
      <x:c r="E8" s="82" t="n">
        <x:f>'Dashboard'!C9</x:f>
        <x:v>-1.6862827038432366</x:v>
      </x:c>
      <x:c r="F8" s="82" t="n">
        <x:f>'Dashboard'!C9</x:f>
        <x:v>-1.6862827038432366</x:v>
      </x:c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4" t="str">
        <x:v>Индексация ТОиР</x:v>
      </x:c>
      <x:c r="B9" s="82" t="str">
        <x:v>см. HTML</x:v>
      </x:c>
      <x:c r="C9" s="82" t="n">
        <x:f>'Dashboard'!G6</x:f>
        <x:v>-132.11400630776478</x:v>
      </x:c>
      <x:c r="D9" s="82" t="str">
        <x:v>см. HTML</x:v>
      </x:c>
      <x:c r="E9" s="82" t="n">
        <x:f>'Dashboard'!C9</x:f>
        <x:v>-1.6862827038432366</x:v>
      </x:c>
      <x:c r="F9" s="82" t="n">
        <x:f>'Dashboard'!C9</x:f>
        <x:v>-1.6862827038432366</x:v>
      </x:c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 t="str">
        <x:v>WACC</x:v>
      </x:c>
      <x:c r="B10" s="82" t="str">
        <x:v>см. HTML</x:v>
      </x:c>
      <x:c r="C10" s="82" t="n">
        <x:f>'Dashboard'!G6</x:f>
        <x:v>-132.11400630776478</x:v>
      </x:c>
      <x:c r="D10" s="82" t="str">
        <x:v>см. HTML</x:v>
      </x:c>
      <x:c r="E10" s="82" t="n">
        <x:f>'Dashboard'!C9</x:f>
        <x:v>-1.6862827038432366</x:v>
      </x:c>
      <x:c r="F10" s="82" t="n">
        <x:f>'Dashboard'!C9</x:f>
        <x:v>-1.6862827038432366</x:v>
      </x:c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/>
      <x:c r="B11" s="64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</x:cols>
  <x:sheetData>
    <x:row r="1" ht="28" customHeight="1">
      <x:c r="A1" s="3" t="str">
        <x:v>КРЕДИТНЫЙ АНАЛИЗ ЛИЗИНГОПОЛУЧАТЕЛЯ</x:v>
      </x:c>
      <x:c r="B1" s="3" t="str">
        <x:v>КРЕДИТНЫЙ АНАЛИЗ ЛИЗИНГОПОЛУЧАТЕЛЯ</x:v>
      </x:c>
      <x:c r="C1" s="3" t="str">
        <x:v>КРЕДИТНЫЙ АНАЛИЗ ЛИЗИНГОПОЛУЧАТЕЛЯ</x:v>
      </x:c>
      <x:c r="D1" s="3" t="str">
        <x:v>КРЕДИТНЫЙ АНАЛИЗ ЛИЗИНГОПОЛУЧАТЕЛЯ</x:v>
      </x:c>
      <x:c r="E1" s="3" t="str">
        <x:v>КРЕДИТНЫЙ АНАЛИЗ ЛИЗИНГОПОЛУЧАТЕЛЯ</x:v>
      </x:c>
      <x:c r="F1" s="3" t="str">
        <x:v>КРЕДИТНЫЙ АНАЛИЗ ЛИЗИНГОПОЛУЧАТЕЛЯ</x:v>
      </x:c>
      <x:c r="G1" s="3" t="str">
        <x:v>КРЕДИТНЫЙ АНАЛИЗ ЛИЗИНГОПОЛУЧАТЕЛЯ</x:v>
      </x:c>
      <x:c r="H1" s="3" t="str">
        <x:v>КРЕДИТНЫЙ АНАЛИЗ ЛИЗИНГОПОЛУЧАТЕЛЯ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9" t="str">
        <x:v>Показатель</x:v>
      </x:c>
      <x:c r="B3" s="9" t="str">
        <x:v>2022</x:v>
      </x:c>
      <x:c r="C3" s="9" t="str">
        <x:v>2023</x:v>
      </x:c>
      <x:c r="D3" s="9" t="str">
        <x:v>2024</x:v>
      </x:c>
      <x:c r="E3" s="9" t="str">
        <x:v>Комментарий</x:v>
      </x:c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4" t="str">
        <x:v>Чистая прибыль</x:v>
      </x:c>
      <x:c r="B4" s="83" t="n">
        <x:v>-869957</x:v>
      </x:c>
      <x:c r="C4" s="83" t="n">
        <x:v>630542</x:v>
      </x:c>
      <x:c r="D4" s="83" t="n">
        <x:v>-341859</x:v>
      </x:c>
      <x:c r="E4" s="64" t="str">
        <x:v>из косвенной модели</x:v>
      </x:c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4" t="str">
        <x:v>Амортизация, оценка</x:v>
      </x:c>
      <x:c r="B5" s="83" t="n">
        <x:v>1074683</x:v>
      </x:c>
      <x:c r="C5" s="83" t="n">
        <x:v>1846023</x:v>
      </x:c>
      <x:c r="D5" s="83" t="n">
        <x:v>2450670</x:v>
      </x:c>
      <x:c r="E5" s="64" t="str">
        <x:v>8% от ОС и доходных вложений</x:v>
      </x:c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 t="str">
        <x:v>Изменение рабочего капитала</x:v>
      </x:c>
      <x:c r="B6" s="83" t="n">
        <x:v>-2171271</x:v>
      </x:c>
      <x:c r="C6" s="83" t="n">
        <x:v>-1260160</x:v>
      </x:c>
      <x:c r="D6" s="83" t="n">
        <x:v>-2371854</x:v>
      </x:c>
      <x:c r="E6" s="64" t="str">
        <x:v>рост WC = отток денег</x:v>
      </x:c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 t="str">
        <x:v>CFO</x:v>
      </x:c>
      <x:c r="B7" s="83" t="n">
        <x:v>-1966545</x:v>
      </x:c>
      <x:c r="C7" s="83" t="n">
        <x:v>1216405</x:v>
      </x:c>
      <x:c r="D7" s="83" t="n">
        <x:v>-263043</x:v>
      </x:c>
      <x:c r="E7" s="64" t="str">
        <x:v>косвенный расчёт</x:v>
      </x:c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4" t="str">
        <x:v>Валовой CapEx, оценка</x:v>
      </x:c>
      <x:c r="B8" s="83" t="n">
        <x:v>11256834</x:v>
      </x:c>
      <x:c r="C8" s="83" t="n">
        <x:v>10947362</x:v>
      </x:c>
      <x:c r="D8" s="83" t="n">
        <x:v>8468057</x:v>
      </x:c>
      <x:c r="E8" s="64" t="str">
        <x:v>может включать неденежный лизинг</x:v>
      </x:c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4" t="str">
        <x:v>FCF</x:v>
      </x:c>
      <x:c r="B9" s="83" t="n">
        <x:v>-13223379</x:v>
      </x:c>
      <x:c r="C9" s="83" t="n">
        <x:v>-9730957</x:v>
      </x:c>
      <x:c r="D9" s="83" t="n">
        <x:v>-8731100</x:v>
      </x:c>
      <x:c r="E9" s="64" t="str">
        <x:v>CFO - CapEx</x:v>
      </x:c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 t="str">
        <x:v>Чистое изменение долга</x:v>
      </x:c>
      <x:c r="B10" s="83" t="n">
        <x:v>6844544</x:v>
      </x:c>
      <x:c r="C10" s="83" t="n">
        <x:v>4433211</x:v>
      </x:c>
      <x:c r="D10" s="83" t="n">
        <x:v>471108</x:v>
      </x:c>
      <x:c r="E10" s="64" t="str">
        <x:v>финансирование разрыва</x:v>
      </x:c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 t="str">
        <x:v>FCFE</x:v>
      </x:c>
      <x:c r="B11" s="83" t="n">
        <x:v>-6378835</x:v>
      </x:c>
      <x:c r="C11" s="83" t="n">
        <x:v>-5297746</x:v>
      </x:c>
      <x:c r="D11" s="83" t="n">
        <x:v>-8259992</x:v>
      </x:c>
      <x:c r="E11" s="64" t="str">
        <x:v>FCF + чистый долг</x:v>
      </x:c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 t="str">
        <x:v>Проценты к уплате</x:v>
      </x:c>
      <x:c r="B12" s="83" t="n">
        <x:v>1982282</x:v>
      </x:c>
      <x:c r="C12" s="83" t="n">
        <x:v>2158032</x:v>
      </x:c>
      <x:c r="D12" s="83" t="n">
        <x:v>2259411</x:v>
      </x:c>
      <x:c r="E12" s="64" t="str">
        <x:v>справочно</x:v>
      </x:c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9" t="str">
        <x:v>Проверка новой сделки</x:v>
      </x:c>
      <x:c r="B15" s="9" t="str">
        <x:v>Значение</x:v>
      </x:c>
      <x:c r="C15" s="9" t="str">
        <x:v>Ед.</x:v>
      </x:c>
      <x:c r="D15" s="9" t="str">
        <x:v>Статус</x:v>
      </x:c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 t="str">
        <x:v>Новый годовой платёж</x:v>
      </x:c>
      <x:c r="B16" s="82" t="n">
        <x:f>'Лизинг'!C4</x:f>
        <x:v>91783.05808958119</x:v>
      </x:c>
      <x:c r="C16" s="64" t="str">
        <x:v>тыс. руб.</x:v>
      </x:c>
      <x:c r="D16" s="64" t="str">
        <x:f>IF(B16&lt;=0,"н/д","расчёт")</x:f>
        <x:v>расчёт</x:v>
      </x:c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 t="str">
        <x:v>CFO 2024 - новый платёж</x:v>
      </x:c>
      <x:c r="B17" s="82" t="n">
        <x:f>D7-B16</x:f>
        <x:v>-354826.0580895812</x:v>
      </x:c>
      <x:c r="C17" s="64" t="str">
        <x:v>тыс. руб.</x:v>
      </x:c>
      <x:c r="D17" s="64" t="str">
        <x:f>IF(B17&lt;0,"дефицит","профицит")</x:f>
        <x:v>дефицит</x:v>
      </x:c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 t="str">
        <x:v>DSCR по CFO 2024</x:v>
      </x:c>
      <x:c r="B18" s="88" t="n">
        <x:f>D7/B16</x:f>
        <x:v>-2.8659210694774124</x:v>
      </x:c>
      <x:c r="C18" s="64" t="str">
        <x:v>x</x:v>
      </x:c>
      <x:c r="D18" s="64" t="str">
        <x:f>IF(B18&lt;1,"ниже 1,0x","выше 1,0x")</x:f>
        <x:v>ниже 1,0x</x:v>
      </x:c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 t="str">
        <x:v>Денежные средства 2024</x:v>
      </x:c>
      <x:c r="B19" s="64" t="n">
        <x:v>186.692</x:v>
      </x:c>
      <x:c r="C19" s="64" t="str">
        <x:v>млн руб.</x:v>
      </x:c>
      <x:c r="D19" s="64" t="str">
        <x:v>из HTML</x:v>
      </x:c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</x:cols>
  <x:sheetData>
    <x:row r="1" ht="28" customHeight="1">
      <x:c r="A1" s="3" t="str">
        <x:v>ФИНАНСОВАЯ МОДЕЛЬ ЛИЗИНГА ВЕРТОЛЁТА Ми-8МТВ-1 | ДОПУЩЕНИЯ</x:v>
      </x:c>
      <x:c r="B1" s="3" t="str">
        <x:v>ФИНАНСОВАЯ МОДЕЛЬ ЛИЗИНГА ВЕРТОЛЁТА Ми-8МТВ-1 | ДОПУЩЕНИЯ</x:v>
      </x:c>
      <x:c r="C1" s="3" t="str">
        <x:v>ФИНАНСОВАЯ МОДЕЛЬ ЛИЗИНГА ВЕРТОЛЁТА Ми-8МТВ-1 | ДОПУЩЕНИЯ</x:v>
      </x:c>
      <x:c r="D1" s="3" t="str">
        <x:v>ФИНАНСОВАЯ МОДЕЛЬ ЛИЗИНГА ВЕРТОЛЁТА Ми-8МТВ-1 | ДОПУЩЕНИЯ</x:v>
      </x:c>
      <x:c r="E1" s="3" t="str">
        <x:v>ФИНАНСОВАЯ МОДЕЛЬ ЛИЗИНГА ВЕРТОЛЁТА Ми-8МТВ-1 | ДОПУЩЕНИЯ</x:v>
      </x:c>
      <x:c r="F1" s="3" t="str">
        <x:v>ФИНАНСОВАЯ МОДЕЛЬ ЛИЗИНГА ВЕРТОЛЁТА Ми-8МТВ-1 | ДОПУЩЕНИЯ</x:v>
      </x:c>
      <x:c r="G1" s="3" t="str">
        <x:v>ФИНАНСОВАЯ МОДЕЛЬ ЛИЗИНГА ВЕРТОЛЁТА Ми-8МТВ-1 | ДОПУЩЕНИЯ</x:v>
      </x:c>
      <x:c r="H1" s="3" t="str">
        <x:v>ФИНАНСОВАЯ МОДЕЛЬ ЛИЗИНГА ВЕРТОЛЁТА Ми-8МТВ-1 | ДОПУЩЕНИЯ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9" t="str">
        <x:v>Параметр</x:v>
      </x:c>
      <x:c r="B3" s="9" t="str">
        <x:v>Значение</x:v>
      </x:c>
      <x:c r="C3" s="9" t="str">
        <x:v>Ед. измерения</x:v>
      </x:c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4" t="str">
        <x:v>Стоимость вертолёта</x:v>
      </x:c>
      <x:c r="B4" s="89" t="n">
        <x:v>660</x:v>
      </x:c>
      <x:c r="C4" s="64" t="str">
        <x:v>млн руб.</x:v>
      </x:c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4" t="str">
        <x:v>Аванс</x:v>
      </x:c>
      <x:c r="B5" s="90" t="n">
        <x:v>0</x:v>
      </x:c>
      <x:c r="C5" s="64" t="str">
        <x:v>%</x:v>
      </x:c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 t="str">
        <x:v>Ставка лизинга</x:v>
      </x:c>
      <x:c r="B6" s="90" t="n">
        <x:v>0.11</x:v>
      </x:c>
      <x:c r="C6" s="64" t="str">
        <x:v>% годовых</x:v>
      </x:c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 t="str">
        <x:v>Срок лизинга</x:v>
      </x:c>
      <x:c r="B7" s="91" t="n">
        <x:v>15</x:v>
      </x:c>
      <x:c r="C7" s="64" t="str">
        <x:v>лет</x:v>
      </x:c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4" t="str">
        <x:v>Год начала</x:v>
      </x:c>
      <x:c r="B8" s="91" t="n">
        <x:v>2026</x:v>
      </x:c>
      <x:c r="C8" s="64" t="str">
        <x:v>год</x:v>
      </x:c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4" t="str">
        <x:v>Ставка лётного часа</x:v>
      </x:c>
      <x:c r="B9" s="91" t="n">
        <x:v>600000</x:v>
      </x:c>
      <x:c r="C9" s="64" t="str">
        <x:v>руб./л/ч</x:v>
      </x:c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 t="str">
        <x:v>Плановый налёт</x:v>
      </x:c>
      <x:c r="B10" s="92" t="n">
        <x:v>50</x:v>
      </x:c>
      <x:c r="C10" s="64" t="str">
        <x:v>ч/мес</x:v>
      </x:c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 t="str">
        <x:v>Индексация выручки</x:v>
      </x:c>
      <x:c r="B11" s="92" t="n">
        <x:v>0.05</x:v>
      </x:c>
      <x:c r="C11" s="64" t="str">
        <x:v>% в год</x:v>
      </x:c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 t="str">
        <x:v>OPEX без ТОиР</x:v>
      </x:c>
      <x:c r="B12" s="90" t="n">
        <x:v>179907</x:v>
      </x:c>
      <x:c r="C12" s="64" t="str">
        <x:v>руб./л/ч</x:v>
      </x:c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 t="str">
        <x:v>Индексация OPEX</x:v>
      </x:c>
      <x:c r="B13" s="91" t="n">
        <x:v>0.05</x:v>
      </x:c>
      <x:c r="C13" s="64" t="str">
        <x:v>% в год</x:v>
      </x:c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 t="str">
        <x:v>Индексация ТОиР</x:v>
      </x:c>
      <x:c r="B14" s="90" t="n">
        <x:v>0.12</x:v>
      </x:c>
      <x:c r="C14" s="64" t="str">
        <x:v>% в год</x:v>
      </x:c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 t="str">
        <x:v>Налог на прибыль</x:v>
      </x:c>
      <x:c r="B15" s="90" t="n">
        <x:v>0.2</x:v>
      </x:c>
      <x:c r="C15" s="64" t="str">
        <x:v>%</x:v>
      </x:c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9" t="str">
        <x:v>Справочные фактические параметры ЮТэйр</x:v>
      </x:c>
      <x:c r="B17" s="9" t="str">
        <x:v>Значение</x:v>
      </x:c>
      <x:c r="C17" s="9" t="str">
        <x:v>Ед. измерения</x:v>
      </x:c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 t="str">
        <x:v>Фактический налёт</x:v>
      </x:c>
      <x:c r="B18" s="93" t="n">
        <x:v>57.7142857</x:v>
      </x:c>
      <x:c r="C18" s="64" t="str">
        <x:v>ч/мес</x:v>
      </x:c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 t="str">
        <x:v>Фактическая ставка ЛЧ</x:v>
      </x:c>
      <x:c r="B19" s="83" t="n">
        <x:v>487459.7674</x:v>
      </x:c>
      <x:c r="C19" s="64" t="str">
        <x:v>руб./л/ч</x:v>
      </x:c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 t="str">
        <x:v>WACC</x:v>
      </x:c>
      <x:c r="B20" s="90" t="n">
        <x:v>0.15</x:v>
      </x:c>
      <x:c r="C20" s="64" t="str">
        <x:v>%</x:v>
      </x:c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4" hidden="0" customWidth="1"/>
    <x:col min="4" max="4" width="18" hidden="0" customWidth="1"/>
  </x:cols>
  <x:sheetData>
    <x:row r="1" ht="28" customHeight="1">
      <x:c r="A1" s="3" t="str">
        <x:v>РЕЗЕРВ НА ТОиР - компоненты и индексация</x:v>
      </x:c>
      <x:c r="B1" s="3" t="str">
        <x:v>РЕЗЕРВ НА ТОиР - компоненты и индексация</x:v>
      </x:c>
      <x:c r="C1" s="3" t="str">
        <x:v>РЕЗЕРВ НА ТОиР - компоненты и индексация</x:v>
      </x:c>
      <x:c r="D1" s="3" t="str">
        <x:v>РЕЗЕРВ НА ТОиР - компоненты и индексация</x:v>
      </x:c>
      <x:c r="E1" s="3" t="str">
        <x:v>РЕЗЕРВ НА ТОиР - компоненты и индексация</x:v>
      </x:c>
      <x:c r="F1" s="3" t="str">
        <x:v>РЕЗЕРВ НА ТОиР - компоненты и индексация</x:v>
      </x:c>
      <x:c r="G1" s="3" t="str">
        <x:v>РЕЗЕРВ НА ТОиР - компоненты и индексация</x:v>
      </x:c>
      <x:c r="H1" s="3" t="str">
        <x:v>РЕЗЕРВ НА ТОиР - компоненты и индексация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9" t="str">
        <x:v>Компонент</x:v>
      </x:c>
      <x:c r="B3" s="9" t="str">
        <x:v>Стоимость, руб.</x:v>
      </x:c>
      <x:c r="C3" s="9" t="str">
        <x:v>Ресурс, ч</x:v>
      </x:c>
      <x:c r="D3" s="9" t="str">
        <x:v>Год 1, тыс. руб.</x:v>
      </x:c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4" t="str">
        <x:v>Плановое ТО</x:v>
      </x:c>
      <x:c r="B4" s="83" t="n">
        <x:v>37500</x:v>
      </x:c>
      <x:c r="C4" s="64" t="n">
        <x:v>0</x:v>
      </x:c>
      <x:c r="D4" s="82" t="n">
        <x:f>'ТОиР'!B4*'Допущения'!$B$10*12/1000</x:f>
        <x:v>22500</x:v>
      </x:c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4" t="str">
        <x:v>КР двигателей ТВ3-117ВМ ×2</x:v>
      </x:c>
      <x:c r="B5" s="83" t="n">
        <x:v>96000000</x:v>
      </x:c>
      <x:c r="C5" s="64" t="n">
        <x:v>2000</x:v>
      </x:c>
      <x:c r="D5" s="82" t="n">
        <x:f>B5*'Допущения'!$B$14/(1-(1+'Допущения'!$B$14)^(-C5/('Допущения'!$B$10*12)))/('Допущения'!$B$10*12)*'Допущения'!$B$10*12/1000</x:f>
        <x:v>36617.16050312605</x:v>
      </x:c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 t="str">
        <x:v>КР редуктора ВР-14</x:v>
      </x:c>
      <x:c r="B6" s="83" t="n">
        <x:v>38000000</x:v>
      </x:c>
      <x:c r="C6" s="64" t="n">
        <x:v>1500</x:v>
      </x:c>
      <x:c r="D6" s="82" t="n">
        <x:f>B6*'Допущения'!$B$14/(1-(1+'Допущения'!$B$14)^(-C6/('Допущения'!$B$10*12)))/('Допущения'!$B$10*12)*'Допущения'!$B$10*12/1000</x:f>
        <x:v>18482.29621552109</x:v>
      </x:c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 t="str">
        <x:v>КР ВСУ АИ-9В</x:v>
      </x:c>
      <x:c r="B7" s="83" t="n">
        <x:v>12000000</x:v>
      </x:c>
      <x:c r="C7" s="64" t="n">
        <x:v>600</x:v>
      </x:c>
      <x:c r="D7" s="82" t="n">
        <x:f>B7*'Допущения'!$B$14/(1-(1+'Допущения'!$B$14)^(-C7/('Допущения'!$B$10*12)))/('Допущения'!$B$10*12)*'Допущения'!$B$10*12/1000</x:f>
        <x:v>13439.999999999995</x:v>
      </x:c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4" t="str">
        <x:v>Замена лопастей НВ</x:v>
      </x:c>
      <x:c r="B8" s="83" t="n">
        <x:v>18000000</x:v>
      </x:c>
      <x:c r="C8" s="64" t="n">
        <x:v>3000</x:v>
      </x:c>
      <x:c r="D8" s="82" t="n">
        <x:f>B8*'Допущения'!$B$14/(1-(1+'Допущения'!$B$14)^(-C8/('Допущения'!$B$10*12)))/('Допущения'!$B$10*12)*'Допущения'!$B$10*12/1000</x:f>
        <x:v>4993.375174938877</x:v>
      </x:c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4" t="str">
        <x:v>Замена лопастей РВ</x:v>
      </x:c>
      <x:c r="B9" s="83" t="n">
        <x:v>8000000</x:v>
      </x:c>
      <x:c r="C9" s="64" t="n">
        <x:v>3000</x:v>
      </x:c>
      <x:c r="D9" s="82" t="n">
        <x:f>B9*'Допущения'!$B$14/(1-(1+'Допущения'!$B$14)^(-C9/('Допущения'!$B$10*12)))/('Допущения'!$B$10*12)*'Допущения'!$B$10*12/1000</x:f>
        <x:v>2219.277855528389</x:v>
      </x:c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 t="str">
        <x:v>КВР планера Ми-8</x:v>
      </x:c>
      <x:c r="B10" s="83" t="n">
        <x:v>75000000</x:v>
      </x:c>
      <x:c r="C10" s="64" t="n">
        <x:v>3000</x:v>
      </x:c>
      <x:c r="D10" s="82" t="n">
        <x:f>B10*'Допущения'!$B$14/(1-(1+'Допущения'!$B$14)^(-C10/('Допущения'!$B$10*12)))/('Допущения'!$B$10*12)*'Допущения'!$B$10*12/1000</x:f>
        <x:v>20805.72989557865</x:v>
      </x:c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 t="str">
        <x:v>КВР планера-2</x:v>
      </x:c>
      <x:c r="B11" s="83" t="n">
        <x:v>75000000</x:v>
      </x:c>
      <x:c r="C11" s="64" t="n">
        <x:v>5000</x:v>
      </x:c>
      <x:c r="D11" s="82" t="n">
        <x:f>B11*'Допущения'!$B$14/(1-(1+'Допущения'!$B$14)^(-C11/('Допущения'!$B$10*12)))/('Допущения'!$B$10*12)*'Допущения'!$B$10*12/1000</x:f>
        <x:v>14727.79663058704</x:v>
      </x:c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 t="str">
        <x:v>ИТОГО ставка ТОиР, руб./л/ч</x:v>
      </x:c>
      <x:c r="B12" s="64" t="str"/>
      <x:c r="C12" s="64" t="str"/>
      <x:c r="D12" s="82" t="n">
        <x:f>SUM(D4:D11)/('Допущения'!$B$10*12)*1000</x:f>
        <x:v>222976.06045880017</x:v>
      </x:c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8" max="8" width="18" hidden="0" customWidth="1"/>
  </x:cols>
  <x:sheetData>
    <x:row r="1" ht="28" customHeight="1">
      <x:c r="A1" s="3" t="str">
        <x:v>АННУИТЕТНЫЙ ГРАФИК ЛИЗИНГОВЫХ ПЛАТЕЖЕЙ, тыс. руб.</x:v>
      </x:c>
      <x:c r="B1" s="3" t="str">
        <x:v>АННУИТЕТНЫЙ ГРАФИК ЛИЗИНГОВЫХ ПЛАТЕЖЕЙ, тыс. руб.</x:v>
      </x:c>
      <x:c r="C1" s="3" t="str">
        <x:v>АННУИТЕТНЫЙ ГРАФИК ЛИЗИНГОВЫХ ПЛАТЕЖЕЙ, тыс. руб.</x:v>
      </x:c>
      <x:c r="D1" s="3" t="str">
        <x:v>АННУИТЕТНЫЙ ГРАФИК ЛИЗИНГОВЫХ ПЛАТЕЖЕЙ, тыс. руб.</x:v>
      </x:c>
      <x:c r="E1" s="3" t="str">
        <x:v>АННУИТЕТНЫЙ ГРАФИК ЛИЗИНГОВЫХ ПЛАТЕЖЕЙ, тыс. руб.</x:v>
      </x:c>
      <x:c r="F1" s="3" t="str">
        <x:v>АННУИТЕТНЫЙ ГРАФИК ЛИЗИНГОВЫХ ПЛАТЕЖЕЙ, тыс. руб.</x:v>
      </x:c>
      <x:c r="G1" s="3" t="str">
        <x:v>АННУИТЕТНЫЙ ГРАФИК ЛИЗИНГОВЫХ ПЛАТЕЖЕЙ, тыс. руб.</x:v>
      </x:c>
      <x:c r="H1" s="3" t="str">
        <x:v>АННУИТЕТНЫЙ ГРАФИК ЛИЗИНГОВЫХ ПЛАТЕЖЕЙ, тыс. руб.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9" t="str">
        <x:v>Год</x:v>
      </x:c>
      <x:c r="B3" s="9" t="str">
        <x:v>Остаток нач.</x:v>
      </x:c>
      <x:c r="C3" s="9" t="str">
        <x:v>Платёж</x:v>
      </x:c>
      <x:c r="D3" s="9" t="str">
        <x:v>Проценты</x:v>
      </x:c>
      <x:c r="E3" s="9" t="str">
        <x:v>Тело</x:v>
      </x:c>
      <x:c r="F3" s="9" t="str">
        <x:v>Остаток кон.</x:v>
      </x:c>
      <x:c r="G3" s="9" t="str">
        <x:v>Накопл. проценты</x:v>
      </x:c>
      <x:c r="H3" s="9" t="str">
        <x:v>Накопл. тело</x:v>
      </x:c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4" t="n">
        <x:v>2026</x:v>
      </x:c>
      <x:c r="B4" s="82" t="n">
        <x:f>'Допущения'!$B$4*(1-'Допущения'!$B$5)*1000</x:f>
        <x:v>660000</x:v>
      </x:c>
      <x:c r="C4" s="82" t="n">
        <x:f>IF(B4=0,0,-PMT('Допущения'!$B$6,'Допущения'!$B$7,'Допущения'!$B$4*(1-'Допущения'!$B$5)*1000))</x:f>
        <x:v>91783.05808958119</x:v>
      </x:c>
      <x:c r="D4" s="82" t="n">
        <x:f>B4*'Допущения'!$B$6</x:f>
        <x:v>72600</x:v>
      </x:c>
      <x:c r="E4" s="82" t="n">
        <x:f>C4-D4</x:f>
        <x:v>19183.058089581187</x:v>
      </x:c>
      <x:c r="F4" s="82" t="n">
        <x:f>MAX(B4-E4,0)</x:f>
        <x:v>640816.9419104188</x:v>
      </x:c>
      <x:c r="G4" s="82" t="n">
        <x:f>D4</x:f>
        <x:v>72600</x:v>
      </x:c>
      <x:c r="H4" s="82" t="n">
        <x:f>E4</x:f>
        <x:v>19183.058089581187</x:v>
      </x:c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4" t="n">
        <x:v>2027</x:v>
      </x:c>
      <x:c r="B5" s="82" t="n">
        <x:f>F4</x:f>
        <x:v>640816.9419104188</x:v>
      </x:c>
      <x:c r="C5" s="82" t="n">
        <x:f>IF(B5=0,0,-PMT('Допущения'!$B$6,'Допущения'!$B$7,'Допущения'!$B$4*(1-'Допущения'!$B$5)*1000))</x:f>
        <x:v>91783.05808958119</x:v>
      </x:c>
      <x:c r="D5" s="82" t="n">
        <x:f>B5*'Допущения'!$B$6</x:f>
        <x:v>70489.86361014607</x:v>
      </x:c>
      <x:c r="E5" s="82" t="n">
        <x:f>C5-D5</x:f>
        <x:v>21293.194479435115</x:v>
      </x:c>
      <x:c r="F5" s="82" t="n">
        <x:f>MAX(B5-E5,0)</x:f>
        <x:v>619523.7474309837</x:v>
      </x:c>
      <x:c r="G5" s="82" t="n">
        <x:f>G4+D5</x:f>
        <x:v>143089.86361014607</x:v>
      </x:c>
      <x:c r="H5" s="82" t="n">
        <x:f>H4+E5</x:f>
        <x:v>40476.2525690163</x:v>
      </x:c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 t="n">
        <x:v>2028</x:v>
      </x:c>
      <x:c r="B6" s="82" t="n">
        <x:f>F5</x:f>
        <x:v>619523.7474309837</x:v>
      </x:c>
      <x:c r="C6" s="82" t="n">
        <x:f>IF(B6=0,0,-PMT('Допущения'!$B$6,'Допущения'!$B$7,'Допущения'!$B$4*(1-'Допущения'!$B$5)*1000))</x:f>
        <x:v>91783.05808958119</x:v>
      </x:c>
      <x:c r="D6" s="82" t="n">
        <x:f>B6*'Допущения'!$B$6</x:f>
        <x:v>68147.61221740821</x:v>
      </x:c>
      <x:c r="E6" s="82" t="n">
        <x:f>C6-D6</x:f>
        <x:v>23635.445872172975</x:v>
      </x:c>
      <x:c r="F6" s="82" t="n">
        <x:f>MAX(B6-E6,0)</x:f>
        <x:v>595888.3015588108</x:v>
      </x:c>
      <x:c r="G6" s="82" t="n">
        <x:f>G5+D6</x:f>
        <x:v>211237.4758275543</x:v>
      </x:c>
      <x:c r="H6" s="82" t="n">
        <x:f>H5+E6</x:f>
        <x:v>64111.69844118928</x:v>
      </x:c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 t="n">
        <x:v>2029</x:v>
      </x:c>
      <x:c r="B7" s="82" t="n">
        <x:f>F6</x:f>
        <x:v>595888.3015588108</x:v>
      </x:c>
      <x:c r="C7" s="82" t="n">
        <x:f>IF(B7=0,0,-PMT('Допущения'!$B$6,'Допущения'!$B$7,'Допущения'!$B$4*(1-'Допущения'!$B$5)*1000))</x:f>
        <x:v>91783.05808958119</x:v>
      </x:c>
      <x:c r="D7" s="82" t="n">
        <x:f>B7*'Допущения'!$B$6</x:f>
        <x:v>65547.71317146918</x:v>
      </x:c>
      <x:c r="E7" s="82" t="n">
        <x:f>C7-D7</x:f>
        <x:v>26235.34491811201</x:v>
      </x:c>
      <x:c r="F7" s="82" t="n">
        <x:f>MAX(B7-E7,0)</x:f>
        <x:v>569652.9566406987</x:v>
      </x:c>
      <x:c r="G7" s="82" t="n">
        <x:f>G6+D7</x:f>
        <x:v>276785.18899902346</x:v>
      </x:c>
      <x:c r="H7" s="82" t="n">
        <x:f>H6+E7</x:f>
        <x:v>90347.04335930129</x:v>
      </x:c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4" t="n">
        <x:v>2030</x:v>
      </x:c>
      <x:c r="B8" s="82" t="n">
        <x:f>F7</x:f>
        <x:v>569652.9566406987</x:v>
      </x:c>
      <x:c r="C8" s="82" t="n">
        <x:f>IF(B8=0,0,-PMT('Допущения'!$B$6,'Допущения'!$B$7,'Допущения'!$B$4*(1-'Допущения'!$B$5)*1000))</x:f>
        <x:v>91783.05808958119</x:v>
      </x:c>
      <x:c r="D8" s="82" t="n">
        <x:f>B8*'Допущения'!$B$6</x:f>
        <x:v>62661.82523047686</x:v>
      </x:c>
      <x:c r="E8" s="82" t="n">
        <x:f>C8-D8</x:f>
        <x:v>29121.232859104326</x:v>
      </x:c>
      <x:c r="F8" s="82" t="n">
        <x:f>MAX(B8-E8,0)</x:f>
        <x:v>540531.7237815944</x:v>
      </x:c>
      <x:c r="G8" s="82" t="n">
        <x:f>G7+D8</x:f>
        <x:v>339447.0142295003</x:v>
      </x:c>
      <x:c r="H8" s="82" t="n">
        <x:f>H7+E8</x:f>
        <x:v>119468.2762184056</x:v>
      </x:c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4" t="n">
        <x:v>2031</x:v>
      </x:c>
      <x:c r="B9" s="82" t="n">
        <x:f>F8</x:f>
        <x:v>540531.7237815944</x:v>
      </x:c>
      <x:c r="C9" s="82" t="n">
        <x:f>IF(B9=0,0,-PMT('Допущения'!$B$6,'Допущения'!$B$7,'Допущения'!$B$4*(1-'Допущения'!$B$5)*1000))</x:f>
        <x:v>91783.05808958119</x:v>
      </x:c>
      <x:c r="D9" s="82" t="n">
        <x:f>B9*'Допущения'!$B$6</x:f>
        <x:v>59458.489615975384</x:v>
      </x:c>
      <x:c r="E9" s="82" t="n">
        <x:f>C9-D9</x:f>
        <x:v>32324.568473605803</x:v>
      </x:c>
      <x:c r="F9" s="82" t="n">
        <x:f>MAX(B9-E9,0)</x:f>
        <x:v>508207.15530798864</x:v>
      </x:c>
      <x:c r="G9" s="82" t="n">
        <x:f>G8+D9</x:f>
        <x:v>398905.50384547573</x:v>
      </x:c>
      <x:c r="H9" s="82" t="n">
        <x:f>H8+E9</x:f>
        <x:v>151792.84469201142</x:v>
      </x:c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 t="n">
        <x:v>2032</x:v>
      </x:c>
      <x:c r="B10" s="82" t="n">
        <x:f>F9</x:f>
        <x:v>508207.15530798864</x:v>
      </x:c>
      <x:c r="C10" s="82" t="n">
        <x:f>IF(B10=0,0,-PMT('Допущения'!$B$6,'Допущения'!$B$7,'Допущения'!$B$4*(1-'Допущения'!$B$5)*1000))</x:f>
        <x:v>91783.05808958119</x:v>
      </x:c>
      <x:c r="D10" s="82" t="n">
        <x:f>B10*'Допущения'!$B$6</x:f>
        <x:v>55902.78708387875</x:v>
      </x:c>
      <x:c r="E10" s="82" t="n">
        <x:f>C10-D10</x:f>
        <x:v>35880.27100570244</x:v>
      </x:c>
      <x:c r="F10" s="82" t="n">
        <x:f>MAX(B10-E10,0)</x:f>
        <x:v>472326.8843022862</x:v>
      </x:c>
      <x:c r="G10" s="82" t="n">
        <x:f>G9+D10</x:f>
        <x:v>454808.2909293545</x:v>
      </x:c>
      <x:c r="H10" s="82" t="n">
        <x:f>H9+E10</x:f>
        <x:v>187673.11569771386</x:v>
      </x:c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 t="n">
        <x:v>2033</x:v>
      </x:c>
      <x:c r="B11" s="82" t="n">
        <x:f>F10</x:f>
        <x:v>472326.8843022862</x:v>
      </x:c>
      <x:c r="C11" s="82" t="n">
        <x:f>IF(B11=0,0,-PMT('Допущения'!$B$6,'Допущения'!$B$7,'Допущения'!$B$4*(1-'Допущения'!$B$5)*1000))</x:f>
        <x:v>91783.05808958119</x:v>
      </x:c>
      <x:c r="D11" s="82" t="n">
        <x:f>B11*'Допущения'!$B$6</x:f>
        <x:v>51955.95727325148</x:v>
      </x:c>
      <x:c r="E11" s="82" t="n">
        <x:f>C11-D11</x:f>
        <x:v>39827.10081632971</x:v>
      </x:c>
      <x:c r="F11" s="82" t="n">
        <x:f>MAX(B11-E11,0)</x:f>
        <x:v>432499.7834859565</x:v>
      </x:c>
      <x:c r="G11" s="82" t="n">
        <x:f>G10+D11</x:f>
        <x:v>506764.248202606</x:v>
      </x:c>
      <x:c r="H11" s="82" t="n">
        <x:f>H10+E11</x:f>
        <x:v>227500.21651404357</x:v>
      </x:c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 t="n">
        <x:v>2034</x:v>
      </x:c>
      <x:c r="B12" s="82" t="n">
        <x:f>F11</x:f>
        <x:v>432499.7834859565</x:v>
      </x:c>
      <x:c r="C12" s="82" t="n">
        <x:f>IF(B12=0,0,-PMT('Допущения'!$B$6,'Допущения'!$B$7,'Допущения'!$B$4*(1-'Допущения'!$B$5)*1000))</x:f>
        <x:v>91783.05808958119</x:v>
      </x:c>
      <x:c r="D12" s="82" t="n">
        <x:f>B12*'Допущения'!$B$6</x:f>
        <x:v>47574.97618345521</x:v>
      </x:c>
      <x:c r="E12" s="82" t="n">
        <x:f>C12-D12</x:f>
        <x:v>44208.081906125975</x:v>
      </x:c>
      <x:c r="F12" s="82" t="n">
        <x:f>MAX(B12-E12,0)</x:f>
        <x:v>388291.7015798305</x:v>
      </x:c>
      <x:c r="G12" s="82" t="n">
        <x:f>G11+D12</x:f>
        <x:v>554339.2243860612</x:v>
      </x:c>
      <x:c r="H12" s="82" t="n">
        <x:f>H11+E12</x:f>
        <x:v>271708.29842016957</x:v>
      </x:c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 t="n">
        <x:v>2035</x:v>
      </x:c>
      <x:c r="B13" s="82" t="n">
        <x:f>F12</x:f>
        <x:v>388291.7015798305</x:v>
      </x:c>
      <x:c r="C13" s="82" t="n">
        <x:f>IF(B13=0,0,-PMT('Допущения'!$B$6,'Допущения'!$B$7,'Допущения'!$B$4*(1-'Допущения'!$B$5)*1000))</x:f>
        <x:v>91783.05808958119</x:v>
      </x:c>
      <x:c r="D13" s="82" t="n">
        <x:f>B13*'Допущения'!$B$6</x:f>
        <x:v>42712.08717378136</x:v>
      </x:c>
      <x:c r="E13" s="82" t="n">
        <x:f>C13-D13</x:f>
        <x:v>49070.97091579983</x:v>
      </x:c>
      <x:c r="F13" s="82" t="n">
        <x:f>MAX(B13-E13,0)</x:f>
        <x:v>339220.73066403065</x:v>
      </x:c>
      <x:c r="G13" s="82" t="n">
        <x:f>G12+D13</x:f>
        <x:v>597051.3115598426</x:v>
      </x:c>
      <x:c r="H13" s="82" t="n">
        <x:f>H12+E13</x:f>
        <x:v>320779.2693359694</x:v>
      </x:c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 t="n">
        <x:v>2036</x:v>
      </x:c>
      <x:c r="B14" s="82" t="n">
        <x:f>F13</x:f>
        <x:v>339220.73066403065</x:v>
      </x:c>
      <x:c r="C14" s="82" t="n">
        <x:f>IF(B14=0,0,-PMT('Допущения'!$B$6,'Допущения'!$B$7,'Допущения'!$B$4*(1-'Допущения'!$B$5)*1000))</x:f>
        <x:v>91783.05808958119</x:v>
      </x:c>
      <x:c r="D14" s="82" t="n">
        <x:f>B14*'Допущения'!$B$6</x:f>
        <x:v>37314.28037304337</x:v>
      </x:c>
      <x:c r="E14" s="82" t="n">
        <x:f>C14-D14</x:f>
        <x:v>54468.777716537814</x:v>
      </x:c>
      <x:c r="F14" s="82" t="n">
        <x:f>MAX(B14-E14,0)</x:f>
        <x:v>284751.9529474928</x:v>
      </x:c>
      <x:c r="G14" s="82" t="n">
        <x:f>G13+D14</x:f>
        <x:v>634365.5919328859</x:v>
      </x:c>
      <x:c r="H14" s="82" t="n">
        <x:f>H13+E14</x:f>
        <x:v>375248.04705250723</x:v>
      </x:c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 t="n">
        <x:v>2037</x:v>
      </x:c>
      <x:c r="B15" s="82" t="n">
        <x:f>F14</x:f>
        <x:v>284751.9529474928</x:v>
      </x:c>
      <x:c r="C15" s="82" t="n">
        <x:f>IF(B15=0,0,-PMT('Допущения'!$B$6,'Допущения'!$B$7,'Допущения'!$B$4*(1-'Допущения'!$B$5)*1000))</x:f>
        <x:v>91783.05808958119</x:v>
      </x:c>
      <x:c r="D15" s="82" t="n">
        <x:f>B15*'Допущения'!$B$6</x:f>
        <x:v>31322.71482422421</x:v>
      </x:c>
      <x:c r="E15" s="82" t="n">
        <x:f>C15-D15</x:f>
        <x:v>60460.343265356976</x:v>
      </x:c>
      <x:c r="F15" s="82" t="n">
        <x:f>MAX(B15-E15,0)</x:f>
        <x:v>224291.60968213587</x:v>
      </x:c>
      <x:c r="G15" s="82" t="n">
        <x:f>G14+D15</x:f>
        <x:v>665688.3067571102</x:v>
      </x:c>
      <x:c r="H15" s="82" t="n">
        <x:f>H14+E15</x:f>
        <x:v>435708.3903178642</x:v>
      </x:c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 t="n">
        <x:v>2038</x:v>
      </x:c>
      <x:c r="B16" s="82" t="n">
        <x:f>F15</x:f>
        <x:v>224291.60968213587</x:v>
      </x:c>
      <x:c r="C16" s="82" t="n">
        <x:f>IF(B16=0,0,-PMT('Допущения'!$B$6,'Допущения'!$B$7,'Допущения'!$B$4*(1-'Допущения'!$B$5)*1000))</x:f>
        <x:v>91783.05808958119</x:v>
      </x:c>
      <x:c r="D16" s="82" t="n">
        <x:f>B16*'Допущения'!$B$6</x:f>
        <x:v>24672.077065034944</x:v>
      </x:c>
      <x:c r="E16" s="82" t="n">
        <x:f>C16-D16</x:f>
        <x:v>67110.98102454624</x:v>
      </x:c>
      <x:c r="F16" s="82" t="n">
        <x:f>MAX(B16-E16,0)</x:f>
        <x:v>157180.6286575896</x:v>
      </x:c>
      <x:c r="G16" s="82" t="n">
        <x:f>G15+D16</x:f>
        <x:v>690360.3838221452</x:v>
      </x:c>
      <x:c r="H16" s="82" t="n">
        <x:f>H15+E16</x:f>
        <x:v>502819.37134241045</x:v>
      </x:c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 t="n">
        <x:v>2039</x:v>
      </x:c>
      <x:c r="B17" s="82" t="n">
        <x:f>F16</x:f>
        <x:v>157180.6286575896</x:v>
      </x:c>
      <x:c r="C17" s="82" t="n">
        <x:f>IF(B17=0,0,-PMT('Допущения'!$B$6,'Допущения'!$B$7,'Допущения'!$B$4*(1-'Допущения'!$B$5)*1000))</x:f>
        <x:v>91783.05808958119</x:v>
      </x:c>
      <x:c r="D17" s="82" t="n">
        <x:f>B17*'Допущения'!$B$6</x:f>
        <x:v>17289.869152334857</x:v>
      </x:c>
      <x:c r="E17" s="82" t="n">
        <x:f>C17-D17</x:f>
        <x:v>74493.18893724633</x:v>
      </x:c>
      <x:c r="F17" s="82" t="n">
        <x:f>MAX(B17-E17,0)</x:f>
        <x:v>82687.43972034327</x:v>
      </x:c>
      <x:c r="G17" s="82" t="n">
        <x:f>G16+D17</x:f>
        <x:v>707650.25297448</x:v>
      </x:c>
      <x:c r="H17" s="82" t="n">
        <x:f>H16+E17</x:f>
        <x:v>577312.5602796568</x:v>
      </x:c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 t="n">
        <x:v>2040</x:v>
      </x:c>
      <x:c r="B18" s="82" t="n">
        <x:f>F17</x:f>
        <x:v>82687.43972034327</x:v>
      </x:c>
      <x:c r="C18" s="82" t="n">
        <x:f>IF(B18=0,0,-PMT('Допущения'!$B$6,'Допущения'!$B$7,'Допущения'!$B$4*(1-'Допущения'!$B$5)*1000))</x:f>
        <x:v>91783.05808958119</x:v>
      </x:c>
      <x:c r="D18" s="82" t="n">
        <x:f>B18*'Допущения'!$B$6</x:f>
        <x:v>9095.61836923776</x:v>
      </x:c>
      <x:c r="E18" s="82" t="n">
        <x:f>C18-D18</x:f>
        <x:v>82687.43972034342</x:v>
      </x:c>
      <x:c r="F18" s="82" t="n">
        <x:f>MAX(B18-E18,0)</x:f>
        <x:v>0</x:v>
      </x:c>
      <x:c r="G18" s="82" t="n">
        <x:f>G17+D18</x:f>
        <x:v>716745.8713437178</x:v>
      </x:c>
      <x:c r="H18" s="82" t="n">
        <x:f>H17+E18</x:f>
        <x:v>660000.0000000002</x:v>
      </x:c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18" hidden="0" customWidth="1"/>
    <x:col min="4" max="4" width="28" hidden="0" customWidth="1"/>
  </x:cols>
  <x:sheetData>
    <x:row r="1" ht="28" customHeight="1">
      <x:c r="A1" s="3" t="str">
        <x:v>АК «ЮТэйр» - источники и статус данных</x:v>
      </x:c>
      <x:c r="B1" s="3" t="str">
        <x:v>АК «ЮТэйр» - источники и статус данных</x:v>
      </x:c>
      <x:c r="C1" s="3" t="str">
        <x:v>АК «ЮТэйр» - источники и статус данных</x:v>
      </x:c>
      <x:c r="D1" s="3" t="str">
        <x:v>АК «ЮТэйр» - источники и статус данных</x:v>
      </x:c>
      <x:c r="E1" s="3" t="str">
        <x:v>АК «ЮТэйр» - источники и статус данных</x:v>
      </x:c>
      <x:c r="F1" s="3" t="str">
        <x:v>АК «ЮТэйр» - источники и статус данных</x:v>
      </x:c>
      <x:c r="G1" s="3" t="str">
        <x:v>АК «ЮТэйр» - источники и статус данных</x:v>
      </x:c>
      <x:c r="H1" s="3" t="str">
        <x:v>АК «ЮТэйр» - источники и статус данных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9" t="str">
        <x:v>Источник</x:v>
      </x:c>
      <x:c r="B3" s="9" t="str">
        <x:v>Показатель</x:v>
      </x:c>
      <x:c r="C3" s="9" t="str">
        <x:v>Значение</x:v>
      </x:c>
      <x:c r="D3" s="9" t="str">
        <x:v>Статус</x:v>
      </x:c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4" t="str">
        <x:v>Таблица налёта ТЭО ФНБ 2025</x:v>
      </x:c>
      <x:c r="B4" s="64" t="str">
        <x:v>Среднемесячный налёт, ч/мес</x:v>
      </x:c>
      <x:c r="C4" s="82" t="n">
        <x:v>57.7142857</x:v>
      </x:c>
      <x:c r="D4" s="64" t="str">
        <x:v>факт по приложенной таблице</x:v>
      </x:c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4" t="str">
        <x:v>Таблица налёта ТЭО ФНБ 2025</x:v>
      </x:c>
      <x:c r="B5" s="64" t="str">
        <x:v>Ставка лётного часа, руб./ч</x:v>
      </x:c>
      <x:c r="C5" s="82" t="n">
        <x:v>487459.7674</x:v>
      </x:c>
      <x:c r="D5" s="64" t="str">
        <x:v>факт по приложенной таблице</x:v>
      </x:c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 t="str">
        <x:v>Таблица налёта ТЭО ФНБ 2025</x:v>
      </x:c>
      <x:c r="B6" s="64" t="str">
        <x:v>Себестоимость без лизинга, руб./ч</x:v>
      </x:c>
      <x:c r="C6" s="82" t="n">
        <x:v>360407.0165</x:v>
      </x:c>
      <x:c r="D6" s="64" t="str">
        <x:v>факт по приложенной таблице</x:v>
      </x:c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 t="str">
        <x:v>Таблица налёта ТЭО ФНБ 2025</x:v>
      </x:c>
      <x:c r="B7" s="64" t="str">
        <x:v>Текущий платёж, руб./мес</x:v>
      </x:c>
      <x:c r="C7" s="82" t="n">
        <x:v>4176803.3792</x:v>
      </x:c>
      <x:c r="D7" s="64" t="str">
        <x:v>справочно, действующий график</x:v>
      </x:c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4" t="str">
        <x:v>HTML-модель денежного потока ЮТэйр-ВУ</x:v>
      </x:c>
      <x:c r="B8" s="64" t="str">
        <x:v>CFO 2024, тыс. руб.</x:v>
      </x:c>
      <x:c r="C8" s="82" t="n">
        <x:v>-263043</x:v>
      </x:c>
      <x:c r="D8" s="64" t="str">
        <x:v>косвенная оценка</x:v>
      </x:c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4" t="str">
        <x:v>HTML-модель денежного потока ЮТэйр-ВУ</x:v>
      </x:c>
      <x:c r="B9" s="64" t="str">
        <x:v>FCF 2024, тыс. руб.</x:v>
      </x:c>
      <x:c r="C9" s="82" t="n">
        <x:v>-8731100</x:v>
      </x:c>
      <x:c r="D9" s="64" t="str">
        <x:v>косвенная оценка</x:v>
      </x:c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 t="str">
        <x:v>HTML-модель денежного потока ЮТэйр-ВУ</x:v>
      </x:c>
      <x:c r="B10" s="64" t="str">
        <x:v>Денежные средства 2024, млн руб.</x:v>
      </x:c>
      <x:c r="C10" s="82" t="n">
        <x:v>186.692</x:v>
      </x:c>
      <x:c r="D10" s="64" t="str">
        <x:v>балансовый показатель</x:v>
      </x:c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 t="str">
        <x:v>Промт проекта</x:v>
      </x:c>
      <x:c r="B11" s="64" t="str">
        <x:v>Модельный тариф, руб./ч</x:v>
      </x:c>
      <x:c r="C11" s="82" t="n">
        <x:v>600000</x:v>
      </x:c>
      <x:c r="D11" s="64" t="str">
        <x:v>модельная база</x:v>
      </x:c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 t="str">
        <x:v>Промт проекта</x:v>
      </x:c>
      <x:c r="B12" s="64" t="str">
        <x:v>Модельный налёт, ч/мес</x:v>
      </x:c>
      <x:c r="C12" s="82" t="n">
        <x:v>50</x:v>
      </x:c>
      <x:c r="D12" s="64" t="str">
        <x:v>модельная база</x:v>
      </x:c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</x:sheetData>
  <x:mergeCells>
    <x:mergeCell ref="A1:H1"/>
  </x:mergeCells>
  <x:pageMargins left="0.7" right="0.7" top="0.75" bottom="0.75" header="0.3" footer="0.3"/>
</x:worksheet>
</file>